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Curso - Bootcamp Santander\Projeto 2 - Dashboard\"/>
    </mc:Choice>
  </mc:AlternateContent>
  <xr:revisionPtr revIDLastSave="0" documentId="13_ncr:1_{D628C729-BC2E-4F6D-B18C-D72857A86266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5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G73" i="3"/>
  <c r="C19" i="3"/>
  <c r="B19" i="3"/>
  <c r="G74" i="3"/>
  <c r="D4" i="5" l="1"/>
  <c r="B4" i="5"/>
</calcChain>
</file>

<file path=xl/sharedStrings.xml><?xml version="1.0" encoding="utf-8"?>
<sst xmlns="http://schemas.openxmlformats.org/spreadsheetml/2006/main" count="2050" uniqueCount="349">
  <si>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</si>
  <si>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</si>
  <si>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</si>
  <si>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</si>
  <si>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</si>
  <si>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</si>
  <si>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</si>
  <si>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</si>
  <si>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</si>
  <si>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</si>
  <si>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</si>
  <si>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</si>
  <si>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</si>
  <si>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</si>
  <si>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</si>
  <si>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</si>
  <si>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</si>
  <si>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</si>
  <si>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</si>
  <si>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</si>
  <si>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</si>
  <si>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</si>
  <si>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</si>
  <si>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</si>
  <si>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</si>
  <si>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</si>
  <si>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</si>
  <si>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</si>
  <si>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</si>
  <si>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</si>
  <si>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</si>
  <si>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</si>
  <si>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</si>
  <si>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</si>
  <si>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</si>
  <si>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</si>
  <si>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</si>
  <si>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</si>
  <si>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</si>
  <si>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</si>
  <si>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</si>
  <si>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</si>
  <si>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</si>
  <si>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</si>
  <si>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</si>
  <si>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</si>
  <si>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</si>
  <si>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</si>
  <si>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</si>
  <si>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</si>
  <si>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</si>
  <si>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</si>
  <si>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</si>
  <si>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</si>
  <si>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</si>
  <si>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</si>
  <si>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</si>
  <si>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</si>
  <si>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</si>
  <si>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</si>
  <si>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</si>
  <si>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</si>
  <si>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</si>
  <si>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</si>
  <si>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</si>
  <si>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</si>
  <si>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</si>
  <si>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</si>
  <si>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</si>
  <si>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</si>
  <si>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</si>
  <si>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</si>
  <si>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</si>
  <si>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</si>
  <si>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</si>
  <si>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</si>
  <si>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</si>
  <si>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</si>
  <si>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</si>
  <si>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</si>
  <si>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</si>
  <si>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</si>
  <si>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</si>
  <si>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</si>
  <si>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</si>
  <si>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</si>
  <si>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</si>
  <si>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</si>
  <si>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</si>
  <si>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</si>
  <si>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</si>
  <si>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</si>
  <si>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</si>
  <si>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</si>
  <si>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</si>
  <si>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</si>
  <si>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</si>
  <si>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</si>
  <si>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</si>
  <si>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</si>
  <si>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</si>
  <si>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</si>
  <si>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</si>
  <si>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</si>
  <si>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</si>
  <si>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</si>
  <si>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</si>
  <si>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</si>
  <si>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</si>
  <si>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</si>
  <si>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</si>
  <si>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</si>
  <si>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</si>
  <si>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</si>
  <si>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</si>
  <si>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</si>
  <si>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</si>
  <si>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</si>
  <si>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</si>
  <si>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</si>
  <si>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</si>
  <si>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</si>
  <si>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</si>
  <si>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</si>
  <si>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</si>
  <si>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</si>
  <si>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</si>
  <si>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</si>
  <si>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</si>
  <si>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</si>
  <si>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</si>
  <si>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</si>
  <si>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</si>
  <si>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</si>
  <si>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</si>
  <si>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</si>
  <si>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</si>
  <si>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</si>
  <si>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</si>
  <si>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</si>
  <si>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</si>
  <si>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</si>
  <si>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</si>
  <si>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</si>
  <si>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</si>
  <si>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</si>
  <si>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</si>
  <si>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</si>
  <si>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</si>
  <si>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</si>
  <si>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</si>
  <si>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</si>
  <si>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</si>
  <si>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</si>
  <si>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</si>
  <si>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</si>
  <si>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</si>
  <si>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</si>
  <si>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</si>
  <si>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</si>
  <si>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</si>
  <si>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</si>
  <si>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</si>
  <si>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</si>
  <si>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</si>
  <si>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</si>
  <si>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</si>
  <si>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</si>
  <si>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</si>
  <si>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</si>
  <si>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</si>
  <si>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</si>
  <si>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</si>
  <si>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</si>
  <si>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</si>
  <si>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</si>
  <si>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</si>
  <si>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</si>
  <si>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</si>
  <si>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</si>
  <si>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</si>
  <si>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</si>
  <si>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</si>
  <si>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</si>
  <si>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</si>
  <si>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</si>
  <si>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</si>
  <si>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</si>
  <si>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</si>
  <si>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</si>
  <si>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</si>
  <si>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</si>
  <si>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</si>
  <si>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</si>
  <si>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</si>
  <si>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</si>
  <si>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</si>
  <si>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</si>
  <si>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</si>
  <si>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</si>
  <si>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</si>
  <si>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</si>
  <si>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</si>
  <si>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</si>
  <si>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</si>
  <si>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</si>
  <si>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</si>
  <si>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</si>
  <si>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</si>
  <si>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</si>
  <si>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</si>
  <si>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</si>
  <si>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</si>
  <si>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</si>
  <si>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</si>
  <si>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</si>
  <si>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</si>
  <si>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</si>
  <si>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</si>
  <si>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</si>
  <si>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</si>
  <si>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</si>
  <si>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</si>
  <si>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</si>
  <si>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</si>
  <si>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</si>
  <si>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</si>
  <si>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</si>
  <si>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</si>
  <si>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</si>
  <si>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</si>
  <si>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</si>
  <si>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</si>
  <si>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</si>
  <si>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</si>
  <si>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</si>
  <si>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</si>
  <si>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</si>
  <si>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</si>
  <si>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</si>
  <si>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</si>
  <si>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</si>
  <si>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</si>
  <si>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</si>
  <si>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</si>
  <si>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</si>
  <si>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</si>
  <si>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</si>
  <si>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</si>
  <si>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</si>
  <si>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</si>
  <si>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</si>
  <si>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</si>
  <si>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</si>
  <si>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</si>
  <si>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</si>
  <si>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</si>
  <si>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</si>
  <si>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</si>
  <si>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</si>
  <si>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</si>
  <si>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</si>
  <si>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</si>
  <si>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</si>
  <si>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</si>
  <si>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</si>
  <si>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</si>
  <si>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</si>
  <si>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</si>
  <si>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</si>
  <si>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</si>
  <si>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</si>
  <si>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</si>
  <si>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</si>
  <si>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</si>
  <si>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</si>
  <si>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</si>
  <si>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</si>
  <si>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</si>
  <si>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</si>
  <si>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</si>
  <si>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</si>
  <si>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</si>
  <si>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</si>
  <si>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</si>
  <si>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</si>
  <si>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</si>
  <si>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</si>
  <si>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</si>
  <si>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</si>
  <si>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</si>
  <si>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</si>
  <si>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</si>
  <si>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</si>
  <si>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</si>
  <si>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</si>
  <si>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</si>
  <si>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</si>
  <si>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</si>
  <si>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</si>
  <si>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</si>
  <si>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</si>
  <si>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</si>
  <si>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</si>
  <si>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</si>
  <si>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</si>
  <si>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</si>
  <si>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</si>
  <si>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</si>
  <si>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</si>
  <si>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</si>
  <si>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</si>
  <si>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</si>
  <si>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Receita total</t>
  </si>
  <si>
    <t>Perguntas do negócio:</t>
  </si>
  <si>
    <t>1) Qual a receita total</t>
  </si>
  <si>
    <t>2) Qual o ticket médio</t>
  </si>
  <si>
    <t>Contagem de Name</t>
  </si>
  <si>
    <t>Quantidade de assinantes</t>
  </si>
  <si>
    <t>Ticket médio</t>
  </si>
  <si>
    <t>Total Geral</t>
  </si>
  <si>
    <t>Tipo de plano</t>
  </si>
  <si>
    <t>Volume</t>
  </si>
  <si>
    <t>Plano</t>
  </si>
  <si>
    <t>Receita por plano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</si>
  <si>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</si>
  <si>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</si>
  <si>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</si>
  <si>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</si>
  <si>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</si>
  <si>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</si>
  <si>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</si>
  <si>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</si>
  <si>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</si>
  <si>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</si>
  <si>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</si>
  <si>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</si>
  <si>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</si>
  <si>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3) Qual o total de assinantes</t>
  </si>
  <si>
    <t>Distribuição por plano</t>
  </si>
  <si>
    <t>4) Qual a distribuição por plano</t>
  </si>
  <si>
    <t>5) Qual a receita por plano</t>
  </si>
  <si>
    <t>6) Houve evolução no número de assinantes</t>
  </si>
  <si>
    <t>7) Qual o engajamento nas assinaturas EA Play e Minecraft</t>
  </si>
  <si>
    <t>Número de assinantes</t>
  </si>
  <si>
    <t>EA Play</t>
  </si>
  <si>
    <t>Minecraft</t>
  </si>
  <si>
    <t>Season Pass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</si>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</sst>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#,##0_ ;\-#,##0\ 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0"/>
      <name val="Segoe UI"/>
      <family val="2"/>
    </font>
    <font>
      <b/>
      <sz val="20"/>
      <color theme="1"/>
      <name val="Segoe UI"/>
      <family val="2"/>
    </font>
    <font>
      <b/>
      <sz val="18"/>
      <color rgb="FF00B050"/>
      <name val="Segoe UI"/>
      <family val="2"/>
    </font>
    <font>
      <b/>
      <sz val="24"/>
      <color rgb="FF00B050"/>
      <name val="Segoe U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9" fontId="0" fillId="0" borderId="0" xfId="3" applyFont="1"/>
    <xf numFmtId="0" fontId="4" fillId="5" borderId="0" xfId="0" applyFont="1" applyFill="1" applyAlignment="1">
      <alignment vertical="center"/>
    </xf>
    <xf numFmtId="164" fontId="5" fillId="0" borderId="0" xfId="0" applyNumberFormat="1" applyFont="1"/>
    <xf numFmtId="44" fontId="6" fillId="8" borderId="0" xfId="2" applyFont="1" applyFill="1" applyAlignment="1">
      <alignment horizontal="center"/>
    </xf>
    <xf numFmtId="165" fontId="7" fillId="8" borderId="0" xfId="2" applyNumberFormat="1" applyFont="1" applyFill="1" applyAlignment="1">
      <alignment horizontal="center"/>
    </xf>
    <xf numFmtId="0" fontId="8" fillId="7" borderId="0" xfId="0" applyFont="1" applyFill="1"/>
    <xf numFmtId="0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Personalizada" pivot="0" table="0" count="10" xr9:uid="{4E4FCAD5-D82B-43EC-84C9-D220DA025C71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9BC848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ersonalizad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[Dashboard_vF.xlsx]C̳álculos!Tabela dinâmica3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AE6B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rgbClr val="9BC848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rgbClr val="22C55E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AE6B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rgbClr val="9BC848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rgbClr val="22C55E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lt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2AE6B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rgbClr val="9BC848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rgbClr val="22C55E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AE6B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E4-400F-93E9-EF0E076D73CE}"/>
              </c:ext>
            </c:extLst>
          </c:dPt>
          <c:dPt>
            <c:idx val="1"/>
            <c:bubble3D val="0"/>
            <c:spPr>
              <a:solidFill>
                <a:srgbClr val="9BC848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E4-400F-93E9-EF0E076D73CE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E4-400F-93E9-EF0E076D7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C̳álculos!$B$23:$B$26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C̳álculos!$C$23:$C$26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4-400F-93E9-EF0E076D73C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[Dashboard_vF.xlsx]C̳álculos!Tabela dinâmica4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451550525928068"/>
                  <c:h val="8.4990785430541491E-2"/>
                </c:manualLayout>
              </c15:layout>
            </c:ext>
          </c:extLst>
        </c:dLbl>
      </c:pivotFmt>
      <c:pivotFmt>
        <c:idx val="4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69762561999524"/>
                  <c:h val="0.15551915700449626"/>
                </c:manualLayout>
              </c15:layout>
            </c:ext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134449961040062"/>
                  <c:h val="0.15551915700449626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451550525928068"/>
                  <c:h val="8.4990785430541491E-2"/>
                </c:manualLayout>
              </c15:layout>
            </c:ext>
          </c:extLst>
        </c:dLbl>
      </c:pivotFmt>
      <c:pivotFmt>
        <c:idx val="8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69762561999524"/>
                  <c:h val="0.15551915700449626"/>
                </c:manualLayout>
              </c15:layout>
            </c:ext>
          </c:extLst>
        </c:dLbl>
      </c:pivotFmt>
      <c:pivotFmt>
        <c:idx val="9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134449961040062"/>
                  <c:h val="0.15551915700449626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1451550525928068"/>
                  <c:h val="8.4990785430541491E-2"/>
                </c:manualLayout>
              </c15:layout>
            </c:ext>
          </c:extLst>
        </c:dLbl>
      </c:pivotFmt>
      <c:pivotFmt>
        <c:idx val="12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769762561999524"/>
                  <c:h val="0.15551915700449626"/>
                </c:manualLayout>
              </c15:layout>
            </c:ext>
          </c:extLst>
        </c:dLbl>
      </c:pivotFmt>
      <c:pivotFmt>
        <c:idx val="1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134449961040062"/>
                  <c:h val="0.15551915700449626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0F-44C2-9D29-46600980ED0A}"/>
              </c:ext>
            </c:extLst>
          </c:dPt>
          <c:dPt>
            <c:idx val="1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0F-44C2-9D29-46600980ED0A}"/>
              </c:ext>
            </c:extLst>
          </c:dPt>
          <c:dPt>
            <c:idx val="2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0F-44C2-9D29-46600980ED0A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51550525928068"/>
                      <c:h val="8.49907854305414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90F-44C2-9D29-46600980ED0A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69762561999524"/>
                      <c:h val="0.155519157004496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90F-44C2-9D29-46600980ED0A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34449961040062"/>
                      <c:h val="0.155519157004496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90F-44C2-9D29-46600980ED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C̳álculos!$B$34:$B$37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C̳álculos!$C$34:$C$37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0F-44C2-9D29-46600980ED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8689087"/>
        <c:axId val="1528689567"/>
      </c:barChart>
      <c:catAx>
        <c:axId val="15286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528689567"/>
        <c:crosses val="autoZero"/>
        <c:auto val="1"/>
        <c:lblAlgn val="ctr"/>
        <c:lblOffset val="100"/>
        <c:noMultiLvlLbl val="0"/>
      </c:catAx>
      <c:valAx>
        <c:axId val="1528689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2868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C̳álculos!$G$72</c:f>
              <c:strCache>
                <c:ptCount val="1"/>
                <c:pt idx="0">
                  <c:v>Percentual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sx="1000" sy="1000" kx="-1200000" algn="bl" rotWithShape="0">
                <a:prstClr val="black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>
                <a:outerShdw blurRad="76200" sx="1000" sy="1000" kx="-1200000" algn="bl" rotWithShape="0">
                  <a:prstClr val="black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05-4C82-9ACE-25F0E11E0FF5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>
                <a:outerShdw blurRad="76200" sx="1000" sy="1000" kx="-1200000" algn="bl" rotWithShape="0">
                  <a:prstClr val="black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05-4C82-9ACE-25F0E11E0F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C̳álculos!$F$73:$F$74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C̳álculos!$G$73:$G$74</c:f>
              <c:numCache>
                <c:formatCode>0%</c:formatCode>
                <c:ptCount val="2"/>
                <c:pt idx="0">
                  <c:v>0.33220338983050846</c:v>
                </c:pt>
                <c:pt idx="1">
                  <c:v>0.65762711864406775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05-4C82-9ACE-25F0E11E0F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27017232"/>
        <c:axId val="1227003792"/>
      </c:barChart>
      <c:catAx>
        <c:axId val="1227017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7003792"/>
        <c:crosses val="autoZero"/>
        <c:auto val="1"/>
        <c:lblAlgn val="ctr"/>
        <c:lblOffset val="100"/>
        <c:noMultiLvlLbl val="0"/>
      </c:catAx>
      <c:valAx>
        <c:axId val="12270037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22701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[Dashboard_vF.xlsx]C̳álculos!Tabela dinâmica5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solidFill>
                <a:srgbClr val="5BF6A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solidFill>
                <a:srgbClr val="5BF6A8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solidFill>
                <a:srgbClr val="5BF6A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solidFill>
                <a:srgbClr val="5BF6A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C̳álculos!$C$51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2C55E"/>
              </a:solidFill>
              <a:ln w="9525">
                <a:solidFill>
                  <a:srgbClr val="5BF6A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C̳álculos!$B$52:$B$64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C̳álculos!$C$52:$C$64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7-4D45-AB9F-23CCBE8DC7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681727"/>
        <c:axId val="1281683167"/>
      </c:lineChart>
      <c:catAx>
        <c:axId val="12816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281683167"/>
        <c:crosses val="autoZero"/>
        <c:auto val="1"/>
        <c:lblAlgn val="ctr"/>
        <c:lblOffset val="100"/>
        <c:noMultiLvlLbl val="0"/>
      </c:catAx>
      <c:valAx>
        <c:axId val="1281683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68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11.png"/><Relationship Id="rId7" Type="http://schemas.openxmlformats.org/officeDocument/2006/relationships/chart" Target="../charts/chart3.xml"/><Relationship Id="rId12" Type="http://schemas.openxmlformats.org/officeDocument/2006/relationships/chart" Target="../charts/chart4.xml"/><Relationship Id="rId17" Type="http://schemas.openxmlformats.org/officeDocument/2006/relationships/image" Target="../media/image17.png"/><Relationship Id="rId2" Type="http://schemas.openxmlformats.org/officeDocument/2006/relationships/image" Target="../media/image6.png"/><Relationship Id="rId16" Type="http://schemas.openxmlformats.org/officeDocument/2006/relationships/image" Target="../media/image16.sv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11" Type="http://schemas.openxmlformats.org/officeDocument/2006/relationships/image" Target="../media/image10.svg"/><Relationship Id="rId5" Type="http://schemas.openxmlformats.org/officeDocument/2006/relationships/chart" Target="../charts/chart1.xml"/><Relationship Id="rId15" Type="http://schemas.openxmlformats.org/officeDocument/2006/relationships/image" Target="../media/image15.png"/><Relationship Id="rId10" Type="http://schemas.openxmlformats.org/officeDocument/2006/relationships/image" Target="../media/image9.png"/><Relationship Id="rId4" Type="http://schemas.openxmlformats.org/officeDocument/2006/relationships/image" Target="../media/image12.svg"/><Relationship Id="rId9" Type="http://schemas.openxmlformats.org/officeDocument/2006/relationships/image" Target="../media/image8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26670</xdr:colOff>
      <xdr:row>21</xdr:row>
      <xdr:rowOff>66675</xdr:rowOff>
    </xdr:from>
    <xdr:to>
      <xdr:col>3</xdr:col>
      <xdr:colOff>26670</xdr:colOff>
      <xdr:row>27</xdr:row>
      <xdr:rowOff>135255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" y="40747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304800</xdr:colOff>
      <xdr:row>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120338</xdr:colOff>
      <xdr:row>12</xdr:row>
      <xdr:rowOff>145356</xdr:rowOff>
    </xdr:from>
    <xdr:to>
      <xdr:col>0</xdr:col>
      <xdr:colOff>1776338</xdr:colOff>
      <xdr:row>28</xdr:row>
      <xdr:rowOff>76200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7A9DF6C-47BC-4582-9F7A-28F20F33C041}"/>
            </a:ext>
          </a:extLst>
        </xdr:cNvPr>
        <xdr:cNvGrpSpPr/>
      </xdr:nvGrpSpPr>
      <xdr:grpSpPr>
        <a:xfrm>
          <a:off x="120338" y="3555306"/>
          <a:ext cx="1656000" cy="2826444"/>
          <a:chOff x="120338" y="3732081"/>
          <a:chExt cx="1656000" cy="3018134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9269A091-1A46-2E51-78E2-324A01BAE226}"/>
              </a:ext>
            </a:extLst>
          </xdr:cNvPr>
          <xdr:cNvSpPr/>
        </xdr:nvSpPr>
        <xdr:spPr>
          <a:xfrm>
            <a:off x="120338" y="3732081"/>
            <a:ext cx="1656000" cy="3018134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17D89CF-2CB1-EEED-9273-8C4A40C90921}"/>
              </a:ext>
            </a:extLst>
          </xdr:cNvPr>
          <xdr:cNvSpPr txBox="1"/>
        </xdr:nvSpPr>
        <xdr:spPr>
          <a:xfrm>
            <a:off x="123567" y="3766353"/>
            <a:ext cx="1599514" cy="2820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800">
                <a:latin typeface="Segoe UI" panose="020B0502040204020203" pitchFamily="34" charset="0"/>
                <a:cs typeface="Segoe UI" panose="020B0502040204020203" pitchFamily="34" charset="0"/>
              </a:rPr>
              <a:t>Data Filter</a:t>
            </a:r>
            <a:endParaRPr lang="pt-BR" sz="1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36540</xdr:colOff>
      <xdr:row>0</xdr:row>
      <xdr:rowOff>88318</xdr:rowOff>
    </xdr:from>
    <xdr:to>
      <xdr:col>0</xdr:col>
      <xdr:colOff>2226059</xdr:colOff>
      <xdr:row>0</xdr:row>
      <xdr:rowOff>734457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3DF87BA-22ED-49BD-BB6A-92F43F0F9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80" r="36370" b="23345"/>
        <a:stretch>
          <a:fillRect/>
        </a:stretch>
      </xdr:blipFill>
      <xdr:spPr>
        <a:xfrm>
          <a:off x="36540" y="88318"/>
          <a:ext cx="2189519" cy="646139"/>
        </a:xfrm>
        <a:prstGeom prst="rect">
          <a:avLst/>
        </a:prstGeom>
      </xdr:spPr>
    </xdr:pic>
    <xdr:clientData/>
  </xdr:twoCellAnchor>
  <xdr:twoCellAnchor>
    <xdr:from>
      <xdr:col>0</xdr:col>
      <xdr:colOff>130708</xdr:colOff>
      <xdr:row>1</xdr:row>
      <xdr:rowOff>76750</xdr:rowOff>
    </xdr:from>
    <xdr:to>
      <xdr:col>0</xdr:col>
      <xdr:colOff>1786708</xdr:colOff>
      <xdr:row>12</xdr:row>
      <xdr:rowOff>90535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B73C701A-6089-4698-A1AC-F1273715EA07}"/>
            </a:ext>
          </a:extLst>
        </xdr:cNvPr>
        <xdr:cNvGrpSpPr/>
      </xdr:nvGrpSpPr>
      <xdr:grpSpPr>
        <a:xfrm>
          <a:off x="130708" y="857800"/>
          <a:ext cx="1656000" cy="2642685"/>
          <a:chOff x="130708" y="852439"/>
          <a:chExt cx="1656000" cy="265568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52F0FBF-4A8E-2DE7-F486-6DB7D2AA8A56}"/>
              </a:ext>
            </a:extLst>
          </xdr:cNvPr>
          <xdr:cNvSpPr/>
        </xdr:nvSpPr>
        <xdr:spPr>
          <a:xfrm>
            <a:off x="130708" y="852439"/>
            <a:ext cx="1656000" cy="2655689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9DE98818-E877-3BD3-9A19-836E8E94C57D}"/>
              </a:ext>
            </a:extLst>
          </xdr:cNvPr>
          <xdr:cNvSpPr/>
        </xdr:nvSpPr>
        <xdr:spPr>
          <a:xfrm>
            <a:off x="558792" y="926289"/>
            <a:ext cx="793760" cy="726942"/>
          </a:xfrm>
          <a:prstGeom prst="ellipse">
            <a:avLst/>
          </a:prstGeom>
          <a:blipFill>
            <a:blip xmlns:r="http://schemas.openxmlformats.org/officeDocument/2006/relationships" r:embed="rId2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751393B8-E714-D7A8-6F64-2842940295B7}"/>
              </a:ext>
            </a:extLst>
          </xdr:cNvPr>
          <xdr:cNvSpPr/>
        </xdr:nvSpPr>
        <xdr:spPr>
          <a:xfrm>
            <a:off x="234118" y="1761075"/>
            <a:ext cx="1443108" cy="294674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Welcome, João.</a:t>
            </a:r>
          </a:p>
        </xdr:txBody>
      </xdr: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9B74B958-D251-86BE-5D6B-B68513492D12}"/>
              </a:ext>
            </a:extLst>
          </xdr:cNvPr>
          <xdr:cNvGrpSpPr/>
        </xdr:nvGrpSpPr>
        <xdr:grpSpPr>
          <a:xfrm>
            <a:off x="202592" y="3013785"/>
            <a:ext cx="1506160" cy="461133"/>
            <a:chOff x="168048" y="2820080"/>
            <a:chExt cx="1313452" cy="420594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6E8F9858-9F4B-062D-960A-088A65A7080B}"/>
                </a:ext>
              </a:extLst>
            </xdr:cNvPr>
            <xdr:cNvGrpSpPr/>
          </xdr:nvGrpSpPr>
          <xdr:grpSpPr>
            <a:xfrm>
              <a:off x="893535" y="2856641"/>
              <a:ext cx="587965" cy="384033"/>
              <a:chOff x="4257626" y="3192780"/>
              <a:chExt cx="771606" cy="567721"/>
            </a:xfrm>
          </xdr:grpSpPr>
          <xdr:pic>
            <xdr:nvPicPr>
              <xdr:cNvPr id="16" name="Gráfico 15" descr="Saída com preenchimento sólido">
                <a:extLst>
                  <a:ext uri="{FF2B5EF4-FFF2-40B4-BE49-F238E27FC236}">
                    <a16:creationId xmlns:a16="http://schemas.microsoft.com/office/drawing/2014/main" id="{CADE6322-9091-03CA-61E5-B1CF0C630C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4458480" y="3192780"/>
                <a:ext cx="288000" cy="288000"/>
              </a:xfrm>
              <a:prstGeom prst="rect">
                <a:avLst/>
              </a:prstGeom>
            </xdr:spPr>
          </xdr:pic>
          <xdr:sp macro="" textlink="">
            <xdr:nvSpPr>
              <xdr:cNvPr id="17" name="CaixaDeTexto 16">
                <a:extLst>
                  <a:ext uri="{FF2B5EF4-FFF2-40B4-BE49-F238E27FC236}">
                    <a16:creationId xmlns:a16="http://schemas.microsoft.com/office/drawing/2014/main" id="{F5B906CC-C168-E794-4CCC-A859C52AAD3B}"/>
                  </a:ext>
                </a:extLst>
              </xdr:cNvPr>
              <xdr:cNvSpPr txBox="1"/>
            </xdr:nvSpPr>
            <xdr:spPr>
              <a:xfrm>
                <a:off x="4257626" y="3388578"/>
                <a:ext cx="771606" cy="3719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800">
                    <a:latin typeface="Segoe UI" panose="020B0502040204020203" pitchFamily="34" charset="0"/>
                    <a:cs typeface="Segoe UI" panose="020B0502040204020203" pitchFamily="34" charset="0"/>
                  </a:rPr>
                  <a:t>Logout</a:t>
                </a:r>
                <a:endParaRPr lang="pt-BR" sz="10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721E72C7-74BA-BF1C-E75F-250D6573A948}"/>
                </a:ext>
              </a:extLst>
            </xdr:cNvPr>
            <xdr:cNvSpPr txBox="1"/>
          </xdr:nvSpPr>
          <xdr:spPr>
            <a:xfrm>
              <a:off x="168048" y="2820080"/>
              <a:ext cx="862693" cy="372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800">
                  <a:latin typeface="Segoe UI" panose="020B0502040204020203" pitchFamily="34" charset="0"/>
                  <a:cs typeface="Segoe UI" panose="020B0502040204020203" pitchFamily="34" charset="0"/>
                </a:rPr>
                <a:t>04/01/2025</a:t>
              </a:r>
            </a:p>
            <a:p>
              <a:r>
                <a:rPr lang="pt-BR" sz="800">
                  <a:latin typeface="Segoe UI" panose="020B0502040204020203" pitchFamily="34" charset="0"/>
                  <a:cs typeface="Segoe UI" panose="020B0502040204020203" pitchFamily="34" charset="0"/>
                </a:rPr>
                <a:t>11:45</a:t>
              </a:r>
              <a:endParaRPr lang="pt-BR" sz="1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D60E93F-BAC8-2F76-A704-F48D58108E12}"/>
              </a:ext>
            </a:extLst>
          </xdr:cNvPr>
          <xdr:cNvSpPr/>
        </xdr:nvSpPr>
        <xdr:spPr>
          <a:xfrm>
            <a:off x="443687" y="2432272"/>
            <a:ext cx="1023971" cy="196845"/>
          </a:xfrm>
          <a:prstGeom prst="roundRect">
            <a:avLst/>
          </a:prstGeom>
          <a:solidFill>
            <a:srgbClr val="9BC848"/>
          </a:solidFill>
          <a:ln>
            <a:solidFill>
              <a:srgbClr val="9BC848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Segoe UI" panose="020B0502040204020203" pitchFamily="34" charset="0"/>
                <a:cs typeface="Segoe UI" panose="020B0502040204020203" pitchFamily="34" charset="0"/>
              </a:rPr>
              <a:t>Executive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7BEC72C7-0E12-2034-C491-7895ABDF240A}"/>
              </a:ext>
            </a:extLst>
          </xdr:cNvPr>
          <xdr:cNvSpPr/>
        </xdr:nvSpPr>
        <xdr:spPr>
          <a:xfrm>
            <a:off x="443687" y="2746289"/>
            <a:ext cx="1023971" cy="196848"/>
          </a:xfrm>
          <a:prstGeom prst="roundRect">
            <a:avLst/>
          </a:prstGeom>
          <a:noFill/>
          <a:ln w="12700">
            <a:solidFill>
              <a:srgbClr val="9BC848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solidFill>
                  <a:srgbClr val="9BC84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Operational</a:t>
            </a:r>
            <a:endParaRPr lang="pt-BR" sz="1100">
              <a:solidFill>
                <a:srgbClr val="9BC84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CaixaDeTexto 12">
            <a:extLst>
              <a:ext uri="{FF2B5EF4-FFF2-40B4-BE49-F238E27FC236}">
                <a16:creationId xmlns:a16="http://schemas.microsoft.com/office/drawing/2014/main" id="{7F4006F2-B17D-4F05-2971-14C7DEBD7E61}"/>
              </a:ext>
            </a:extLst>
          </xdr:cNvPr>
          <xdr:cNvSpPr txBox="1"/>
        </xdr:nvSpPr>
        <xdr:spPr>
          <a:xfrm>
            <a:off x="196940" y="2115179"/>
            <a:ext cx="1517464" cy="2817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800">
                <a:latin typeface="Segoe UI" panose="020B0502040204020203" pitchFamily="34" charset="0"/>
                <a:cs typeface="Segoe UI" panose="020B0502040204020203" pitchFamily="34" charset="0"/>
              </a:rPr>
              <a:t>Choose a dashboard:</a:t>
            </a:r>
            <a:endParaRPr lang="pt-BR" sz="1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2282572</xdr:colOff>
      <xdr:row>5</xdr:row>
      <xdr:rowOff>163715</xdr:rowOff>
    </xdr:from>
    <xdr:to>
      <xdr:col>1</xdr:col>
      <xdr:colOff>864529</xdr:colOff>
      <xdr:row>11</xdr:row>
      <xdr:rowOff>79282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B5CD3672-6997-4CBB-9C21-BBE53716426B}"/>
            </a:ext>
          </a:extLst>
        </xdr:cNvPr>
        <xdr:cNvSpPr/>
      </xdr:nvSpPr>
      <xdr:spPr>
        <a:xfrm>
          <a:off x="2282572" y="2304935"/>
          <a:ext cx="1412364" cy="101284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2347252</xdr:colOff>
      <xdr:row>0</xdr:row>
      <xdr:rowOff>1</xdr:rowOff>
    </xdr:from>
    <xdr:to>
      <xdr:col>3</xdr:col>
      <xdr:colOff>657028</xdr:colOff>
      <xdr:row>1</xdr:row>
      <xdr:rowOff>1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BAE8F424-6385-463C-AF58-BD0A2A38C8DC}"/>
            </a:ext>
          </a:extLst>
        </xdr:cNvPr>
        <xdr:cNvSpPr txBox="1"/>
      </xdr:nvSpPr>
      <xdr:spPr>
        <a:xfrm>
          <a:off x="2347252" y="1"/>
          <a:ext cx="5661383" cy="777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36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Executive dashboard</a:t>
          </a:r>
        </a:p>
      </xdr:txBody>
    </xdr:sp>
    <xdr:clientData/>
  </xdr:twoCellAnchor>
  <xdr:twoCellAnchor editAs="absolute">
    <xdr:from>
      <xdr:col>0</xdr:col>
      <xdr:colOff>2265629</xdr:colOff>
      <xdr:row>4</xdr:row>
      <xdr:rowOff>166572</xdr:rowOff>
    </xdr:from>
    <xdr:to>
      <xdr:col>2</xdr:col>
      <xdr:colOff>601561</xdr:colOff>
      <xdr:row>23</xdr:row>
      <xdr:rowOff>86065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777998AD-FDD2-E321-455C-5EDC201F8767}"/>
            </a:ext>
          </a:extLst>
        </xdr:cNvPr>
        <xdr:cNvSpPr/>
      </xdr:nvSpPr>
      <xdr:spPr>
        <a:xfrm>
          <a:off x="2265629" y="2130839"/>
          <a:ext cx="3669932" cy="3458559"/>
        </a:xfrm>
        <a:prstGeom prst="roundRect">
          <a:avLst/>
        </a:prstGeom>
        <a:solidFill>
          <a:schemeClr val="bg1"/>
        </a:solidFill>
        <a:ln w="28575"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2276878</xdr:colOff>
      <xdr:row>4</xdr:row>
      <xdr:rowOff>98840</xdr:rowOff>
    </xdr:from>
    <xdr:to>
      <xdr:col>6</xdr:col>
      <xdr:colOff>239168</xdr:colOff>
      <xdr:row>23</xdr:row>
      <xdr:rowOff>127001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459F1B5-D6B7-F84A-C4DC-8743AB22CDBD}"/>
            </a:ext>
          </a:extLst>
        </xdr:cNvPr>
        <xdr:cNvGrpSpPr/>
      </xdr:nvGrpSpPr>
      <xdr:grpSpPr>
        <a:xfrm>
          <a:off x="2276878" y="2060990"/>
          <a:ext cx="12068815" cy="3466686"/>
          <a:chOff x="935047" y="2156151"/>
          <a:chExt cx="12608842" cy="3746820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78EE932F-9200-826A-A433-173435142319}"/>
              </a:ext>
            </a:extLst>
          </xdr:cNvPr>
          <xdr:cNvGrpSpPr/>
        </xdr:nvGrpSpPr>
        <xdr:grpSpPr>
          <a:xfrm>
            <a:off x="935047" y="2236187"/>
            <a:ext cx="3833147" cy="3666784"/>
            <a:chOff x="935047" y="2236187"/>
            <a:chExt cx="3833147" cy="3666784"/>
          </a:xfrm>
        </xdr:grpSpPr>
        <xdr:graphicFrame macro="">
          <xdr:nvGraphicFramePr>
            <xdr:cNvPr id="36" name="Gráfico 35">
              <a:extLst>
                <a:ext uri="{FF2B5EF4-FFF2-40B4-BE49-F238E27FC236}">
                  <a16:creationId xmlns:a16="http://schemas.microsoft.com/office/drawing/2014/main" id="{398A4AEE-38D2-6B99-6B39-DE472D3B223A}"/>
                </a:ext>
              </a:extLst>
            </xdr:cNvPr>
            <xdr:cNvGraphicFramePr>
              <a:graphicFrameLocks/>
            </xdr:cNvGraphicFramePr>
          </xdr:nvGraphicFramePr>
          <xdr:xfrm>
            <a:off x="935047" y="2516855"/>
            <a:ext cx="3833147" cy="338611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97534657-7E8F-6FCE-0FF3-B4DD162098EA}"/>
                </a:ext>
              </a:extLst>
            </xdr:cNvPr>
            <xdr:cNvSpPr txBox="1"/>
          </xdr:nvSpPr>
          <xdr:spPr>
            <a:xfrm>
              <a:off x="1249964" y="2236187"/>
              <a:ext cx="3299484" cy="4174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Plan Distribution</a:t>
              </a: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E5C1BA7B-FEC5-CBE9-3098-C26F6DBD7BD7}"/>
              </a:ext>
            </a:extLst>
          </xdr:cNvPr>
          <xdr:cNvGrpSpPr/>
        </xdr:nvGrpSpPr>
        <xdr:grpSpPr>
          <a:xfrm>
            <a:off x="5480745" y="2156151"/>
            <a:ext cx="4172553" cy="3632682"/>
            <a:chOff x="5484813" y="2169740"/>
            <a:chExt cx="4176437" cy="3704400"/>
          </a:xfrm>
        </xdr:grpSpPr>
        <xdr:sp macro="" textlink="">
          <xdr:nvSpPr>
            <xdr:cNvPr id="33" name="Retângulo: Cantos Arredondados 32">
              <a:extLst>
                <a:ext uri="{FF2B5EF4-FFF2-40B4-BE49-F238E27FC236}">
                  <a16:creationId xmlns:a16="http://schemas.microsoft.com/office/drawing/2014/main" id="{DC887CD2-28D3-DD9A-0257-B978B72621B4}"/>
                </a:ext>
              </a:extLst>
            </xdr:cNvPr>
            <xdr:cNvSpPr/>
          </xdr:nvSpPr>
          <xdr:spPr>
            <a:xfrm>
              <a:off x="5484813" y="2169740"/>
              <a:ext cx="4176437" cy="3704400"/>
            </a:xfrm>
            <a:prstGeom prst="roundRect">
              <a:avLst/>
            </a:prstGeom>
            <a:solidFill>
              <a:schemeClr val="bg1"/>
            </a:solidFill>
            <a:ln w="28575"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E28AECA7-A329-5AA9-F551-81BEF39CECDA}"/>
                </a:ext>
              </a:extLst>
            </xdr:cNvPr>
            <xdr:cNvSpPr txBox="1"/>
          </xdr:nvSpPr>
          <xdr:spPr>
            <a:xfrm>
              <a:off x="5758450" y="2261442"/>
              <a:ext cx="3561030" cy="4246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Revenue per Plan</a:t>
              </a:r>
            </a:p>
          </xdr:txBody>
        </xdr:sp>
        <xdr:graphicFrame macro="">
          <xdr:nvGraphicFramePr>
            <xdr:cNvPr id="35" name="Gráfico 34">
              <a:extLst>
                <a:ext uri="{FF2B5EF4-FFF2-40B4-BE49-F238E27FC236}">
                  <a16:creationId xmlns:a16="http://schemas.microsoft.com/office/drawing/2014/main" id="{4FF6CC09-076A-1FF1-DF6A-D441BD52DEBB}"/>
                </a:ext>
              </a:extLst>
            </xdr:cNvPr>
            <xdr:cNvGraphicFramePr>
              <a:graphicFrameLocks/>
            </xdr:cNvGraphicFramePr>
          </xdr:nvGraphicFramePr>
          <xdr:xfrm>
            <a:off x="5613153" y="2683625"/>
            <a:ext cx="4042184" cy="313839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9BF12766-B6A1-E68A-372A-74DA79F18EF9}"/>
              </a:ext>
            </a:extLst>
          </xdr:cNvPr>
          <xdr:cNvGrpSpPr/>
        </xdr:nvGrpSpPr>
        <xdr:grpSpPr>
          <a:xfrm>
            <a:off x="10201023" y="2196206"/>
            <a:ext cx="3342866" cy="3633024"/>
            <a:chOff x="10209409" y="2210496"/>
            <a:chExt cx="3347348" cy="3704742"/>
          </a:xfrm>
        </xdr:grpSpPr>
        <xdr:sp macro="" textlink="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084A5F4C-5088-C4C6-2157-0BD2A014E4FF}"/>
                </a:ext>
              </a:extLst>
            </xdr:cNvPr>
            <xdr:cNvSpPr/>
          </xdr:nvSpPr>
          <xdr:spPr>
            <a:xfrm>
              <a:off x="10209409" y="2210496"/>
              <a:ext cx="3347348" cy="3704742"/>
            </a:xfrm>
            <a:prstGeom prst="roundRect">
              <a:avLst/>
            </a:prstGeom>
            <a:solidFill>
              <a:schemeClr val="bg1"/>
            </a:solidFill>
            <a:ln w="28575"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080B7FEC-09DB-E4E3-A471-094BFE34FDBA}"/>
                </a:ext>
              </a:extLst>
            </xdr:cNvPr>
            <xdr:cNvSpPr txBox="1"/>
          </xdr:nvSpPr>
          <xdr:spPr>
            <a:xfrm>
              <a:off x="10355029" y="2261618"/>
              <a:ext cx="2822491" cy="4246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  <xdr:graphicFrame macro="">
          <xdr:nvGraphicFramePr>
            <xdr:cNvPr id="28" name="Gráfico 27">
              <a:extLst>
                <a:ext uri="{FF2B5EF4-FFF2-40B4-BE49-F238E27FC236}">
                  <a16:creationId xmlns:a16="http://schemas.microsoft.com/office/drawing/2014/main" id="{1DC73B82-7B52-7196-2D63-30FDB572A4A2}"/>
                </a:ext>
              </a:extLst>
            </xdr:cNvPr>
            <xdr:cNvGraphicFramePr>
              <a:graphicFrameLocks/>
            </xdr:cNvGraphicFramePr>
          </xdr:nvGraphicFramePr>
          <xdr:xfrm>
            <a:off x="10278800" y="2641599"/>
            <a:ext cx="3061282" cy="234696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pic>
          <xdr:nvPicPr>
            <xdr:cNvPr id="29" name="Imagem 28">
              <a:extLst>
                <a:ext uri="{FF2B5EF4-FFF2-40B4-BE49-F238E27FC236}">
                  <a16:creationId xmlns:a16="http://schemas.microsoft.com/office/drawing/2014/main" id="{5090AF29-DA54-FFAB-2CB5-8390C77E2EF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7887" b="32026"/>
            <a:stretch>
              <a:fillRect/>
            </a:stretch>
          </xdr:blipFill>
          <xdr:spPr>
            <a:xfrm>
              <a:off x="10464800" y="5000332"/>
              <a:ext cx="1220870" cy="468000"/>
            </a:xfrm>
            <a:prstGeom prst="rect">
              <a:avLst/>
            </a:prstGeom>
          </xdr:spPr>
        </xdr:pic>
        <xdr:grpSp>
          <xdr:nvGrpSpPr>
            <xdr:cNvPr id="30" name="Agrupar 29">
              <a:extLst>
                <a:ext uri="{FF2B5EF4-FFF2-40B4-BE49-F238E27FC236}">
                  <a16:creationId xmlns:a16="http://schemas.microsoft.com/office/drawing/2014/main" id="{B9666344-EE46-76DE-63EA-627D0ED7319B}"/>
                </a:ext>
              </a:extLst>
            </xdr:cNvPr>
            <xdr:cNvGrpSpPr/>
          </xdr:nvGrpSpPr>
          <xdr:grpSpPr>
            <a:xfrm>
              <a:off x="11759565" y="4946332"/>
              <a:ext cx="1404000" cy="576000"/>
              <a:chOff x="3495675" y="5400674"/>
              <a:chExt cx="1549476" cy="752476"/>
            </a:xfrm>
          </xdr:grpSpPr>
          <xdr:pic>
            <xdr:nvPicPr>
              <xdr:cNvPr id="31" name="Imagem 30">
                <a:extLst>
                  <a:ext uri="{FF2B5EF4-FFF2-40B4-BE49-F238E27FC236}">
                    <a16:creationId xmlns:a16="http://schemas.microsoft.com/office/drawing/2014/main" id="{995AC098-6CFB-229F-5BA4-E02C1642C21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2" name="Gráfico 31">
                <a:extLst>
                  <a:ext uri="{FF2B5EF4-FFF2-40B4-BE49-F238E27FC236}">
                    <a16:creationId xmlns:a16="http://schemas.microsoft.com/office/drawing/2014/main" id="{845363B1-0B5D-6B21-C33E-50BC0B6C62E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>
                <a:extLst>
                  <a:ext uri="{96DAC541-7B7A-43D3-8B79-37D633B846F1}">
                    <asvg:svgBlip xmlns:asvg="http://schemas.microsoft.com/office/drawing/2016/SVG/main" r:embed="rId11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 editAs="absolute">
    <xdr:from>
      <xdr:col>0</xdr:col>
      <xdr:colOff>209084</xdr:colOff>
      <xdr:row>20</xdr:row>
      <xdr:rowOff>151427</xdr:rowOff>
    </xdr:from>
    <xdr:to>
      <xdr:col>0</xdr:col>
      <xdr:colOff>1702243</xdr:colOff>
      <xdr:row>27</xdr:row>
      <xdr:rowOff>111659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lan 2">
              <a:extLst>
                <a:ext uri="{FF2B5EF4-FFF2-40B4-BE49-F238E27FC236}">
                  <a16:creationId xmlns:a16="http://schemas.microsoft.com/office/drawing/2014/main" id="{6C37C941-6B18-44DD-A630-C04D2B8A79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084" y="5009177"/>
              <a:ext cx="1493159" cy="1227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194500</xdr:colOff>
      <xdr:row>14</xdr:row>
      <xdr:rowOff>22407</xdr:rowOff>
    </xdr:from>
    <xdr:to>
      <xdr:col>0</xdr:col>
      <xdr:colOff>1672315</xdr:colOff>
      <xdr:row>20</xdr:row>
      <xdr:rowOff>137905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Subscription Type 2">
              <a:extLst>
                <a:ext uri="{FF2B5EF4-FFF2-40B4-BE49-F238E27FC236}">
                  <a16:creationId xmlns:a16="http://schemas.microsoft.com/office/drawing/2014/main" id="{5AFC9CB5-B6CA-4683-B870-560AD03FC3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500" y="3794307"/>
              <a:ext cx="1477815" cy="1201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2258747</xdr:colOff>
      <xdr:row>24</xdr:row>
      <xdr:rowOff>89505</xdr:rowOff>
    </xdr:from>
    <xdr:to>
      <xdr:col>6</xdr:col>
      <xdr:colOff>355600</xdr:colOff>
      <xdr:row>37</xdr:row>
      <xdr:rowOff>161925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278C6DCF-AD75-45AF-BF4B-76AD591FF0D1}"/>
            </a:ext>
          </a:extLst>
        </xdr:cNvPr>
        <xdr:cNvGrpSpPr/>
      </xdr:nvGrpSpPr>
      <xdr:grpSpPr>
        <a:xfrm>
          <a:off x="2258747" y="5671155"/>
          <a:ext cx="12203378" cy="2425095"/>
          <a:chOff x="2250280" y="6355054"/>
          <a:chExt cx="12117205" cy="2946213"/>
        </a:xfrm>
      </xdr:grpSpPr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CE5FC090-53A4-D3CB-7EC2-152A60527301}"/>
              </a:ext>
            </a:extLst>
          </xdr:cNvPr>
          <xdr:cNvSpPr/>
        </xdr:nvSpPr>
        <xdr:spPr>
          <a:xfrm>
            <a:off x="2358491" y="6355054"/>
            <a:ext cx="11973276" cy="2946213"/>
          </a:xfrm>
          <a:prstGeom prst="roundRect">
            <a:avLst/>
          </a:prstGeom>
          <a:solidFill>
            <a:schemeClr val="bg1"/>
          </a:solidFill>
          <a:ln w="28575"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2" name="Gráfico 41">
            <a:extLst>
              <a:ext uri="{FF2B5EF4-FFF2-40B4-BE49-F238E27FC236}">
                <a16:creationId xmlns:a16="http://schemas.microsoft.com/office/drawing/2014/main" id="{14E2E9E8-AC52-69C4-D9B7-F7DCF863B09E}"/>
              </a:ext>
            </a:extLst>
          </xdr:cNvPr>
          <xdr:cNvGraphicFramePr>
            <a:graphicFrameLocks/>
          </xdr:cNvGraphicFramePr>
        </xdr:nvGraphicFramePr>
        <xdr:xfrm>
          <a:off x="2250280" y="6920583"/>
          <a:ext cx="12117205" cy="23534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43" name="CaixaDeTexto 42">
            <a:extLst>
              <a:ext uri="{FF2B5EF4-FFF2-40B4-BE49-F238E27FC236}">
                <a16:creationId xmlns:a16="http://schemas.microsoft.com/office/drawing/2014/main" id="{F0F1CB8D-0FE2-3AAB-EF96-F2A7A5EAC78C}"/>
              </a:ext>
            </a:extLst>
          </xdr:cNvPr>
          <xdr:cNvSpPr txBox="1"/>
        </xdr:nvSpPr>
        <xdr:spPr>
          <a:xfrm>
            <a:off x="2440781" y="6399456"/>
            <a:ext cx="11771923" cy="435908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Montly Subscribers</a:t>
            </a:r>
          </a:p>
        </xdr:txBody>
      </xdr:sp>
    </xdr:grpSp>
    <xdr:clientData/>
  </xdr:twoCellAnchor>
  <xdr:twoCellAnchor editAs="absolute">
    <xdr:from>
      <xdr:col>0</xdr:col>
      <xdr:colOff>140423</xdr:colOff>
      <xdr:row>32</xdr:row>
      <xdr:rowOff>150280</xdr:rowOff>
    </xdr:from>
    <xdr:to>
      <xdr:col>0</xdr:col>
      <xdr:colOff>1745890</xdr:colOff>
      <xdr:row>36</xdr:row>
      <xdr:rowOff>153198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45DCFBAF-99DD-4297-AADA-6EE64BD2D6ED}"/>
            </a:ext>
          </a:extLst>
        </xdr:cNvPr>
        <xdr:cNvSpPr/>
      </xdr:nvSpPr>
      <xdr:spPr>
        <a:xfrm>
          <a:off x="140423" y="7179730"/>
          <a:ext cx="1605467" cy="726818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bg2">
                  <a:lumMod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Data Period: Jan-Dec</a:t>
          </a:r>
          <a:r>
            <a:rPr lang="pt-BR" sz="800" baseline="0">
              <a:solidFill>
                <a:schemeClr val="bg2">
                  <a:lumMod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2024</a:t>
          </a:r>
          <a:endParaRPr lang="pt-BR" sz="800">
            <a:solidFill>
              <a:schemeClr val="bg2">
                <a:lumMod val="50000"/>
              </a:schemeClr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ctr"/>
          <a:r>
            <a:rPr lang="pt-BR" sz="800" baseline="0">
              <a:solidFill>
                <a:schemeClr val="bg2">
                  <a:lumMod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Last Updated: 02 Jan 2025</a:t>
          </a:r>
        </a:p>
        <a:p>
          <a:pPr algn="ctr"/>
          <a:endParaRPr lang="pt-BR" sz="800" baseline="0">
            <a:solidFill>
              <a:schemeClr val="bg2">
                <a:lumMod val="50000"/>
              </a:schemeClr>
            </a:solidFill>
            <a:effectLst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  <a:p>
          <a:pPr algn="ctr"/>
          <a:r>
            <a:rPr lang="pt-BR" sz="800" baseline="0">
              <a:solidFill>
                <a:schemeClr val="bg2">
                  <a:lumMod val="50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Developed by: Daniele Souza</a:t>
          </a:r>
          <a:endParaRPr lang="pt-BR" sz="800">
            <a:solidFill>
              <a:schemeClr val="bg2">
                <a:lumMod val="50000"/>
              </a:schemeClr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4</xdr:col>
      <xdr:colOff>1803827</xdr:colOff>
      <xdr:row>1</xdr:row>
      <xdr:rowOff>77754</xdr:rowOff>
    </xdr:from>
    <xdr:to>
      <xdr:col>6</xdr:col>
      <xdr:colOff>14697</xdr:colOff>
      <xdr:row>3</xdr:row>
      <xdr:rowOff>809373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42B7378F-F850-4B33-84C4-9A8EA11DBF59}"/>
            </a:ext>
          </a:extLst>
        </xdr:cNvPr>
        <xdr:cNvGrpSpPr/>
      </xdr:nvGrpSpPr>
      <xdr:grpSpPr>
        <a:xfrm>
          <a:off x="11643152" y="858804"/>
          <a:ext cx="2478070" cy="1093569"/>
          <a:chOff x="10358661" y="855305"/>
          <a:chExt cx="2477835" cy="1104844"/>
        </a:xfrm>
      </xdr:grpSpPr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D92453F7-2DFE-2BF2-4EFB-A025D0CB1FCF}"/>
              </a:ext>
            </a:extLst>
          </xdr:cNvPr>
          <xdr:cNvGrpSpPr/>
        </xdr:nvGrpSpPr>
        <xdr:grpSpPr>
          <a:xfrm>
            <a:off x="10358661" y="896383"/>
            <a:ext cx="2477835" cy="1063766"/>
            <a:chOff x="2277286" y="2277550"/>
            <a:chExt cx="1439426" cy="915732"/>
          </a:xfrm>
        </xdr:grpSpPr>
        <xdr:grpSp>
          <xdr:nvGrpSpPr>
            <xdr:cNvPr id="48" name="Agrupar 47">
              <a:extLst>
                <a:ext uri="{FF2B5EF4-FFF2-40B4-BE49-F238E27FC236}">
                  <a16:creationId xmlns:a16="http://schemas.microsoft.com/office/drawing/2014/main" id="{127608CA-88ED-9B54-C4A7-49AEEA9D9263}"/>
                </a:ext>
              </a:extLst>
            </xdr:cNvPr>
            <xdr:cNvGrpSpPr/>
          </xdr:nvGrpSpPr>
          <xdr:grpSpPr>
            <a:xfrm>
              <a:off x="2277286" y="2277550"/>
              <a:ext cx="1439426" cy="915732"/>
              <a:chOff x="2277673" y="2276003"/>
              <a:chExt cx="1440664" cy="917898"/>
            </a:xfrm>
          </xdr:grpSpPr>
          <xdr:sp macro="" textlink="">
            <xdr:nvSpPr>
              <xdr:cNvPr id="50" name="Retângulo: Cantos Superiores Arredondados 49">
                <a:extLst>
                  <a:ext uri="{FF2B5EF4-FFF2-40B4-BE49-F238E27FC236}">
                    <a16:creationId xmlns:a16="http://schemas.microsoft.com/office/drawing/2014/main" id="{0E95BCCE-EE11-1FEF-B068-FAEC14303914}"/>
                  </a:ext>
                </a:extLst>
              </xdr:cNvPr>
              <xdr:cNvSpPr/>
            </xdr:nvSpPr>
            <xdr:spPr>
              <a:xfrm>
                <a:off x="2277821" y="2363834"/>
                <a:ext cx="1440516" cy="830067"/>
              </a:xfrm>
              <a:prstGeom prst="round2SameRect">
                <a:avLst/>
              </a:prstGeom>
              <a:noFill/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51" name="Retângulo: Cantos Superiores Arredondados 50">
                <a:extLst>
                  <a:ext uri="{FF2B5EF4-FFF2-40B4-BE49-F238E27FC236}">
                    <a16:creationId xmlns:a16="http://schemas.microsoft.com/office/drawing/2014/main" id="{AE1733A4-AD94-6B5A-1078-F5ACCAA19E5B}"/>
                  </a:ext>
                </a:extLst>
              </xdr:cNvPr>
              <xdr:cNvSpPr/>
            </xdr:nvSpPr>
            <xdr:spPr>
              <a:xfrm>
                <a:off x="2277673" y="2276003"/>
                <a:ext cx="1439830" cy="384714"/>
              </a:xfrm>
              <a:prstGeom prst="round2SameRect">
                <a:avLst/>
              </a:prstGeom>
              <a:solidFill>
                <a:srgbClr val="22C55E"/>
              </a:solidFill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49" name="CaixaDeTexto 48">
              <a:extLst>
                <a:ext uri="{FF2B5EF4-FFF2-40B4-BE49-F238E27FC236}">
                  <a16:creationId xmlns:a16="http://schemas.microsoft.com/office/drawing/2014/main" id="{3FC8C4C4-7D48-B805-D078-E7F5B247BDCA}"/>
                </a:ext>
              </a:extLst>
            </xdr:cNvPr>
            <xdr:cNvSpPr txBox="1"/>
          </xdr:nvSpPr>
          <xdr:spPr>
            <a:xfrm>
              <a:off x="2285999" y="2309917"/>
              <a:ext cx="1303523" cy="3356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r>
                <a:rPr lang="pt-BR" sz="16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Subscribers</a:t>
              </a:r>
            </a:p>
          </xdr:txBody>
        </xdr:sp>
      </xdr:grpSp>
      <xdr:pic>
        <xdr:nvPicPr>
          <xdr:cNvPr id="47" name="Gráfico 46" descr="Usuário com preenchimento sólido">
            <a:extLst>
              <a:ext uri="{FF2B5EF4-FFF2-40B4-BE49-F238E27FC236}">
                <a16:creationId xmlns:a16="http://schemas.microsoft.com/office/drawing/2014/main" id="{86763374-ABA0-81B2-5F53-9D073AA77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0706877" y="855305"/>
            <a:ext cx="540000" cy="540000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1</xdr:colOff>
      <xdr:row>0</xdr:row>
      <xdr:rowOff>724768</xdr:rowOff>
    </xdr:from>
    <xdr:to>
      <xdr:col>4</xdr:col>
      <xdr:colOff>14080</xdr:colOff>
      <xdr:row>3</xdr:row>
      <xdr:rowOff>809373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DBF2189C-7811-4EBB-A203-BEFBB7CC25EA}"/>
            </a:ext>
          </a:extLst>
        </xdr:cNvPr>
        <xdr:cNvGrpSpPr/>
      </xdr:nvGrpSpPr>
      <xdr:grpSpPr>
        <a:xfrm>
          <a:off x="7343776" y="724768"/>
          <a:ext cx="2509629" cy="1227605"/>
          <a:chOff x="6814864" y="724768"/>
          <a:chExt cx="2508609" cy="1235381"/>
        </a:xfrm>
      </xdr:grpSpPr>
      <xdr:grpSp>
        <xdr:nvGrpSpPr>
          <xdr:cNvPr id="53" name="Agrupar 52">
            <a:extLst>
              <a:ext uri="{FF2B5EF4-FFF2-40B4-BE49-F238E27FC236}">
                <a16:creationId xmlns:a16="http://schemas.microsoft.com/office/drawing/2014/main" id="{2D7BABFE-FDC7-E395-2CCA-F97C94FBF3DD}"/>
              </a:ext>
            </a:extLst>
          </xdr:cNvPr>
          <xdr:cNvGrpSpPr/>
        </xdr:nvGrpSpPr>
        <xdr:grpSpPr>
          <a:xfrm>
            <a:off x="6814864" y="724768"/>
            <a:ext cx="2508609" cy="1235381"/>
            <a:chOff x="2277286" y="2131329"/>
            <a:chExt cx="1439426" cy="1061953"/>
          </a:xfrm>
        </xdr:grpSpPr>
        <xdr:grpSp>
          <xdr:nvGrpSpPr>
            <xdr:cNvPr id="55" name="Agrupar 54">
              <a:extLst>
                <a:ext uri="{FF2B5EF4-FFF2-40B4-BE49-F238E27FC236}">
                  <a16:creationId xmlns:a16="http://schemas.microsoft.com/office/drawing/2014/main" id="{DAB78AF3-B1BB-98EC-60D3-461FD0681270}"/>
                </a:ext>
              </a:extLst>
            </xdr:cNvPr>
            <xdr:cNvGrpSpPr/>
          </xdr:nvGrpSpPr>
          <xdr:grpSpPr>
            <a:xfrm>
              <a:off x="2277286" y="2277550"/>
              <a:ext cx="1439426" cy="915732"/>
              <a:chOff x="2277673" y="2276003"/>
              <a:chExt cx="1440664" cy="917898"/>
            </a:xfrm>
          </xdr:grpSpPr>
          <xdr:sp macro="" textlink="">
            <xdr:nvSpPr>
              <xdr:cNvPr id="57" name="Retângulo: Cantos Superiores Arredondados 56">
                <a:extLst>
                  <a:ext uri="{FF2B5EF4-FFF2-40B4-BE49-F238E27FC236}">
                    <a16:creationId xmlns:a16="http://schemas.microsoft.com/office/drawing/2014/main" id="{BA10266F-B50F-ABF7-B631-D6906A51975D}"/>
                  </a:ext>
                </a:extLst>
              </xdr:cNvPr>
              <xdr:cNvSpPr/>
            </xdr:nvSpPr>
            <xdr:spPr>
              <a:xfrm>
                <a:off x="2277821" y="2363834"/>
                <a:ext cx="1440516" cy="830067"/>
              </a:xfrm>
              <a:prstGeom prst="round2SameRect">
                <a:avLst/>
              </a:prstGeom>
              <a:noFill/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58" name="Retângulo: Cantos Superiores Arredondados 57">
                <a:extLst>
                  <a:ext uri="{FF2B5EF4-FFF2-40B4-BE49-F238E27FC236}">
                    <a16:creationId xmlns:a16="http://schemas.microsoft.com/office/drawing/2014/main" id="{69782EFF-4181-F25B-60AF-47AD935A3787}"/>
                  </a:ext>
                </a:extLst>
              </xdr:cNvPr>
              <xdr:cNvSpPr/>
            </xdr:nvSpPr>
            <xdr:spPr>
              <a:xfrm>
                <a:off x="2277673" y="2276003"/>
                <a:ext cx="1439830" cy="384714"/>
              </a:xfrm>
              <a:prstGeom prst="round2SameRect">
                <a:avLst/>
              </a:prstGeom>
              <a:solidFill>
                <a:srgbClr val="22C55E"/>
              </a:solidFill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56" name="CaixaDeTexto 55">
              <a:extLst>
                <a:ext uri="{FF2B5EF4-FFF2-40B4-BE49-F238E27FC236}">
                  <a16:creationId xmlns:a16="http://schemas.microsoft.com/office/drawing/2014/main" id="{ED588C0C-CBE8-D443-92AB-39B880C46F22}"/>
                </a:ext>
              </a:extLst>
            </xdr:cNvPr>
            <xdr:cNvSpPr txBox="1"/>
          </xdr:nvSpPr>
          <xdr:spPr>
            <a:xfrm>
              <a:off x="2286000" y="2131329"/>
              <a:ext cx="1345479" cy="65149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r>
                <a:rPr lang="pt-BR" sz="16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Average Ticket   </a:t>
              </a:r>
            </a:p>
          </xdr:txBody>
        </xdr:sp>
      </xdr:grpSp>
      <xdr:pic>
        <xdr:nvPicPr>
          <xdr:cNvPr id="54" name="Gráfico 53" descr="Bilhete com preenchimento sólido">
            <a:extLst>
              <a:ext uri="{FF2B5EF4-FFF2-40B4-BE49-F238E27FC236}">
                <a16:creationId xmlns:a16="http://schemas.microsoft.com/office/drawing/2014/main" id="{CBFF605C-3DF4-C4CF-FA47-9D30A4C508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7062428" y="826469"/>
            <a:ext cx="540000" cy="5400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2813290</xdr:colOff>
      <xdr:row>1</xdr:row>
      <xdr:rowOff>51182</xdr:rowOff>
    </xdr:from>
    <xdr:to>
      <xdr:col>2</xdr:col>
      <xdr:colOff>1525</xdr:colOff>
      <xdr:row>3</xdr:row>
      <xdr:rowOff>809373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CFB8582A-9C8C-4F27-89E4-3B924C1F061D}"/>
            </a:ext>
          </a:extLst>
        </xdr:cNvPr>
        <xdr:cNvGrpSpPr/>
      </xdr:nvGrpSpPr>
      <xdr:grpSpPr>
        <a:xfrm>
          <a:off x="2813290" y="832232"/>
          <a:ext cx="2522235" cy="1120141"/>
          <a:chOff x="3252520" y="828733"/>
          <a:chExt cx="2517398" cy="1131416"/>
        </a:xfrm>
      </xdr:grpSpPr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8616B5B2-3477-D0F6-2E87-D955E0FEAEE4}"/>
              </a:ext>
            </a:extLst>
          </xdr:cNvPr>
          <xdr:cNvGrpSpPr/>
        </xdr:nvGrpSpPr>
        <xdr:grpSpPr>
          <a:xfrm>
            <a:off x="3252520" y="896383"/>
            <a:ext cx="2517398" cy="1063766"/>
            <a:chOff x="2277286" y="2277550"/>
            <a:chExt cx="1439426" cy="915732"/>
          </a:xfrm>
        </xdr:grpSpPr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B78EB949-E85A-B704-C1B0-7D5FA8142CFD}"/>
                </a:ext>
              </a:extLst>
            </xdr:cNvPr>
            <xdr:cNvGrpSpPr/>
          </xdr:nvGrpSpPr>
          <xdr:grpSpPr>
            <a:xfrm>
              <a:off x="2277286" y="2277550"/>
              <a:ext cx="1439426" cy="915732"/>
              <a:chOff x="2277673" y="2276003"/>
              <a:chExt cx="1440664" cy="917898"/>
            </a:xfrm>
          </xdr:grpSpPr>
          <xdr:sp macro="" textlink="">
            <xdr:nvSpPr>
              <xdr:cNvPr id="64" name="Retângulo: Cantos Superiores Arredondados 63">
                <a:extLst>
                  <a:ext uri="{FF2B5EF4-FFF2-40B4-BE49-F238E27FC236}">
                    <a16:creationId xmlns:a16="http://schemas.microsoft.com/office/drawing/2014/main" id="{A4CBD65B-E8AC-835F-C49C-1F59A77B43A6}"/>
                  </a:ext>
                </a:extLst>
              </xdr:cNvPr>
              <xdr:cNvSpPr/>
            </xdr:nvSpPr>
            <xdr:spPr>
              <a:xfrm>
                <a:off x="2277821" y="2363834"/>
                <a:ext cx="1440516" cy="830067"/>
              </a:xfrm>
              <a:prstGeom prst="round2SameRect">
                <a:avLst/>
              </a:prstGeom>
              <a:noFill/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5" name="Retângulo: Cantos Superiores Arredondados 64">
                <a:extLst>
                  <a:ext uri="{FF2B5EF4-FFF2-40B4-BE49-F238E27FC236}">
                    <a16:creationId xmlns:a16="http://schemas.microsoft.com/office/drawing/2014/main" id="{FE0192EF-3A26-A871-56F2-3BD4E8FAB986}"/>
                  </a:ext>
                </a:extLst>
              </xdr:cNvPr>
              <xdr:cNvSpPr/>
            </xdr:nvSpPr>
            <xdr:spPr>
              <a:xfrm>
                <a:off x="2277673" y="2276003"/>
                <a:ext cx="1439830" cy="384714"/>
              </a:xfrm>
              <a:prstGeom prst="round2SameRect">
                <a:avLst/>
              </a:prstGeom>
              <a:solidFill>
                <a:srgbClr val="22C55E"/>
              </a:solidFill>
              <a:ln w="28575">
                <a:solidFill>
                  <a:srgbClr val="22C55E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33D4AEBB-32B0-E250-374C-BE4DBA566FD2}"/>
                </a:ext>
              </a:extLst>
            </xdr:cNvPr>
            <xdr:cNvSpPr txBox="1"/>
          </xdr:nvSpPr>
          <xdr:spPr>
            <a:xfrm>
              <a:off x="2285999" y="2309917"/>
              <a:ext cx="1303523" cy="3356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r"/>
              <a:r>
                <a:rPr lang="pt-BR" sz="16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Revenue   </a:t>
              </a:r>
            </a:p>
          </xdr:txBody>
        </xdr:sp>
      </xdr:grpSp>
      <xdr:pic>
        <xdr:nvPicPr>
          <xdr:cNvPr id="61" name="Gráfico 60" descr="Dinheiro com preenchimento sólido">
            <a:extLst>
              <a:ext uri="{FF2B5EF4-FFF2-40B4-BE49-F238E27FC236}">
                <a16:creationId xmlns:a16="http://schemas.microsoft.com/office/drawing/2014/main" id="{71E8BE82-68DA-406F-C5EA-95E37ADEEB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>
            <a:off x="3783428" y="828733"/>
            <a:ext cx="540000" cy="5400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e Souza" refreshedDate="46038.750930671296" createdVersion="8" refreshedVersion="8" minRefreshableVersion="3" recordCount="295" xr:uid="{6A0D1A43-7D6F-41EA-9740-FBDFE84E2D8B}">
  <cacheSource type="worksheet">
    <worksheetSource name="subscriptions_sales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836772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x v="0"/>
    <x v="0"/>
    <n v="20"/>
    <n v="5"/>
    <n v="60"/>
  </r>
  <r>
    <n v="3232"/>
    <x v="1"/>
    <x v="1"/>
    <x v="1"/>
    <x v="1"/>
    <x v="1"/>
    <x v="1"/>
    <x v="1"/>
    <x v="1"/>
    <x v="1"/>
    <n v="0"/>
    <n v="0"/>
    <n v="5"/>
  </r>
  <r>
    <n v="3233"/>
    <x v="2"/>
    <x v="2"/>
    <x v="2"/>
    <x v="0"/>
    <x v="2"/>
    <x v="2"/>
    <x v="1"/>
    <x v="1"/>
    <x v="0"/>
    <n v="20"/>
    <n v="10"/>
    <n v="20"/>
  </r>
  <r>
    <n v="3234"/>
    <x v="3"/>
    <x v="0"/>
    <x v="3"/>
    <x v="1"/>
    <x v="0"/>
    <x v="0"/>
    <x v="0"/>
    <x v="0"/>
    <x v="0"/>
    <n v="20"/>
    <n v="3"/>
    <n v="62"/>
  </r>
  <r>
    <n v="3235"/>
    <x v="4"/>
    <x v="1"/>
    <x v="4"/>
    <x v="0"/>
    <x v="1"/>
    <x v="0"/>
    <x v="1"/>
    <x v="1"/>
    <x v="1"/>
    <n v="0"/>
    <n v="1"/>
    <n v="4"/>
  </r>
  <r>
    <n v="3236"/>
    <x v="5"/>
    <x v="2"/>
    <x v="5"/>
    <x v="1"/>
    <x v="2"/>
    <x v="0"/>
    <x v="1"/>
    <x v="1"/>
    <x v="0"/>
    <n v="20"/>
    <n v="2"/>
    <n v="28"/>
  </r>
  <r>
    <n v="3237"/>
    <x v="6"/>
    <x v="0"/>
    <x v="6"/>
    <x v="0"/>
    <x v="0"/>
    <x v="2"/>
    <x v="0"/>
    <x v="0"/>
    <x v="0"/>
    <n v="20"/>
    <n v="10"/>
    <n v="55"/>
  </r>
  <r>
    <n v="3238"/>
    <x v="7"/>
    <x v="1"/>
    <x v="7"/>
    <x v="0"/>
    <x v="1"/>
    <x v="1"/>
    <x v="1"/>
    <x v="1"/>
    <x v="1"/>
    <n v="0"/>
    <n v="0"/>
    <n v="5"/>
  </r>
  <r>
    <n v="3239"/>
    <x v="8"/>
    <x v="0"/>
    <x v="4"/>
    <x v="1"/>
    <x v="0"/>
    <x v="0"/>
    <x v="0"/>
    <x v="0"/>
    <x v="0"/>
    <n v="20"/>
    <n v="5"/>
    <n v="60"/>
  </r>
  <r>
    <n v="3240"/>
    <x v="9"/>
    <x v="2"/>
    <x v="8"/>
    <x v="0"/>
    <x v="2"/>
    <x v="2"/>
    <x v="1"/>
    <x v="1"/>
    <x v="0"/>
    <n v="20"/>
    <n v="15"/>
    <n v="15"/>
  </r>
  <r>
    <n v="3241"/>
    <x v="10"/>
    <x v="1"/>
    <x v="9"/>
    <x v="1"/>
    <x v="1"/>
    <x v="0"/>
    <x v="1"/>
    <x v="1"/>
    <x v="1"/>
    <n v="0"/>
    <n v="1"/>
    <n v="4"/>
  </r>
  <r>
    <n v="3242"/>
    <x v="11"/>
    <x v="0"/>
    <x v="10"/>
    <x v="0"/>
    <x v="0"/>
    <x v="1"/>
    <x v="0"/>
    <x v="0"/>
    <x v="0"/>
    <n v="20"/>
    <n v="20"/>
    <n v="45"/>
  </r>
  <r>
    <n v="3243"/>
    <x v="12"/>
    <x v="2"/>
    <x v="11"/>
    <x v="1"/>
    <x v="2"/>
    <x v="0"/>
    <x v="1"/>
    <x v="1"/>
    <x v="0"/>
    <n v="20"/>
    <n v="10"/>
    <n v="20"/>
  </r>
  <r>
    <n v="3244"/>
    <x v="13"/>
    <x v="1"/>
    <x v="12"/>
    <x v="0"/>
    <x v="1"/>
    <x v="2"/>
    <x v="1"/>
    <x v="1"/>
    <x v="1"/>
    <n v="0"/>
    <n v="0"/>
    <n v="5"/>
  </r>
  <r>
    <n v="3245"/>
    <x v="14"/>
    <x v="0"/>
    <x v="13"/>
    <x v="1"/>
    <x v="0"/>
    <x v="0"/>
    <x v="0"/>
    <x v="0"/>
    <x v="0"/>
    <n v="20"/>
    <n v="8"/>
    <n v="57"/>
  </r>
  <r>
    <n v="3246"/>
    <x v="15"/>
    <x v="2"/>
    <x v="14"/>
    <x v="0"/>
    <x v="2"/>
    <x v="1"/>
    <x v="1"/>
    <x v="1"/>
    <x v="0"/>
    <n v="20"/>
    <n v="12"/>
    <n v="18"/>
  </r>
  <r>
    <n v="3247"/>
    <x v="16"/>
    <x v="1"/>
    <x v="15"/>
    <x v="1"/>
    <x v="1"/>
    <x v="0"/>
    <x v="1"/>
    <x v="1"/>
    <x v="1"/>
    <n v="0"/>
    <n v="2"/>
    <n v="3"/>
  </r>
  <r>
    <n v="3248"/>
    <x v="17"/>
    <x v="0"/>
    <x v="16"/>
    <x v="0"/>
    <x v="0"/>
    <x v="2"/>
    <x v="0"/>
    <x v="0"/>
    <x v="0"/>
    <n v="20"/>
    <n v="7"/>
    <n v="58"/>
  </r>
  <r>
    <n v="3249"/>
    <x v="18"/>
    <x v="2"/>
    <x v="17"/>
    <x v="1"/>
    <x v="2"/>
    <x v="0"/>
    <x v="1"/>
    <x v="1"/>
    <x v="0"/>
    <n v="20"/>
    <n v="5"/>
    <n v="25"/>
  </r>
  <r>
    <n v="3250"/>
    <x v="19"/>
    <x v="1"/>
    <x v="18"/>
    <x v="0"/>
    <x v="1"/>
    <x v="1"/>
    <x v="1"/>
    <x v="1"/>
    <x v="1"/>
    <n v="0"/>
    <n v="0"/>
    <n v="5"/>
  </r>
  <r>
    <n v="3251"/>
    <x v="20"/>
    <x v="0"/>
    <x v="19"/>
    <x v="1"/>
    <x v="0"/>
    <x v="0"/>
    <x v="0"/>
    <x v="0"/>
    <x v="0"/>
    <n v="20"/>
    <n v="3"/>
    <n v="62"/>
  </r>
  <r>
    <n v="3252"/>
    <x v="21"/>
    <x v="2"/>
    <x v="20"/>
    <x v="0"/>
    <x v="2"/>
    <x v="2"/>
    <x v="1"/>
    <x v="1"/>
    <x v="0"/>
    <n v="20"/>
    <n v="15"/>
    <n v="15"/>
  </r>
  <r>
    <n v="3253"/>
    <x v="22"/>
    <x v="1"/>
    <x v="21"/>
    <x v="1"/>
    <x v="1"/>
    <x v="0"/>
    <x v="1"/>
    <x v="1"/>
    <x v="1"/>
    <n v="0"/>
    <n v="1"/>
    <n v="4"/>
  </r>
  <r>
    <n v="3254"/>
    <x v="23"/>
    <x v="0"/>
    <x v="22"/>
    <x v="0"/>
    <x v="0"/>
    <x v="1"/>
    <x v="0"/>
    <x v="0"/>
    <x v="0"/>
    <n v="20"/>
    <n v="20"/>
    <n v="45"/>
  </r>
  <r>
    <n v="3255"/>
    <x v="24"/>
    <x v="2"/>
    <x v="23"/>
    <x v="1"/>
    <x v="2"/>
    <x v="0"/>
    <x v="1"/>
    <x v="1"/>
    <x v="0"/>
    <n v="20"/>
    <n v="10"/>
    <n v="20"/>
  </r>
  <r>
    <n v="3256"/>
    <x v="25"/>
    <x v="1"/>
    <x v="24"/>
    <x v="0"/>
    <x v="1"/>
    <x v="2"/>
    <x v="1"/>
    <x v="1"/>
    <x v="1"/>
    <n v="0"/>
    <n v="0"/>
    <n v="5"/>
  </r>
  <r>
    <n v="3257"/>
    <x v="26"/>
    <x v="0"/>
    <x v="25"/>
    <x v="1"/>
    <x v="0"/>
    <x v="0"/>
    <x v="0"/>
    <x v="0"/>
    <x v="0"/>
    <n v="20"/>
    <n v="5"/>
    <n v="60"/>
  </r>
  <r>
    <n v="3258"/>
    <x v="27"/>
    <x v="2"/>
    <x v="26"/>
    <x v="0"/>
    <x v="2"/>
    <x v="1"/>
    <x v="1"/>
    <x v="1"/>
    <x v="0"/>
    <n v="20"/>
    <n v="15"/>
    <n v="15"/>
  </r>
  <r>
    <n v="3259"/>
    <x v="28"/>
    <x v="1"/>
    <x v="27"/>
    <x v="1"/>
    <x v="1"/>
    <x v="0"/>
    <x v="1"/>
    <x v="1"/>
    <x v="1"/>
    <n v="0"/>
    <n v="1"/>
    <n v="4"/>
  </r>
  <r>
    <n v="3260"/>
    <x v="29"/>
    <x v="0"/>
    <x v="28"/>
    <x v="0"/>
    <x v="0"/>
    <x v="2"/>
    <x v="0"/>
    <x v="0"/>
    <x v="0"/>
    <n v="20"/>
    <n v="7"/>
    <n v="58"/>
  </r>
  <r>
    <n v="3261"/>
    <x v="30"/>
    <x v="2"/>
    <x v="29"/>
    <x v="1"/>
    <x v="2"/>
    <x v="0"/>
    <x v="1"/>
    <x v="1"/>
    <x v="0"/>
    <n v="20"/>
    <n v="10"/>
    <n v="20"/>
  </r>
  <r>
    <n v="3262"/>
    <x v="31"/>
    <x v="1"/>
    <x v="30"/>
    <x v="0"/>
    <x v="1"/>
    <x v="1"/>
    <x v="1"/>
    <x v="1"/>
    <x v="1"/>
    <n v="0"/>
    <n v="0"/>
    <n v="5"/>
  </r>
  <r>
    <n v="3263"/>
    <x v="32"/>
    <x v="0"/>
    <x v="31"/>
    <x v="1"/>
    <x v="0"/>
    <x v="0"/>
    <x v="0"/>
    <x v="0"/>
    <x v="0"/>
    <n v="20"/>
    <n v="3"/>
    <n v="62"/>
  </r>
  <r>
    <n v="3264"/>
    <x v="33"/>
    <x v="2"/>
    <x v="32"/>
    <x v="0"/>
    <x v="2"/>
    <x v="2"/>
    <x v="1"/>
    <x v="1"/>
    <x v="0"/>
    <n v="20"/>
    <n v="15"/>
    <n v="15"/>
  </r>
  <r>
    <n v="3265"/>
    <x v="34"/>
    <x v="1"/>
    <x v="33"/>
    <x v="1"/>
    <x v="1"/>
    <x v="0"/>
    <x v="1"/>
    <x v="1"/>
    <x v="1"/>
    <n v="0"/>
    <n v="1"/>
    <n v="4"/>
  </r>
  <r>
    <n v="3266"/>
    <x v="35"/>
    <x v="1"/>
    <x v="34"/>
    <x v="0"/>
    <x v="1"/>
    <x v="0"/>
    <x v="1"/>
    <x v="1"/>
    <x v="1"/>
    <n v="0"/>
    <n v="0"/>
    <n v="5"/>
  </r>
  <r>
    <n v="3267"/>
    <x v="36"/>
    <x v="0"/>
    <x v="35"/>
    <x v="1"/>
    <x v="0"/>
    <x v="2"/>
    <x v="0"/>
    <x v="0"/>
    <x v="0"/>
    <n v="20"/>
    <n v="7"/>
    <n v="58"/>
  </r>
  <r>
    <n v="3268"/>
    <x v="37"/>
    <x v="2"/>
    <x v="36"/>
    <x v="0"/>
    <x v="2"/>
    <x v="1"/>
    <x v="1"/>
    <x v="1"/>
    <x v="0"/>
    <n v="20"/>
    <n v="10"/>
    <n v="20"/>
  </r>
  <r>
    <n v="3269"/>
    <x v="38"/>
    <x v="1"/>
    <x v="37"/>
    <x v="1"/>
    <x v="1"/>
    <x v="2"/>
    <x v="1"/>
    <x v="1"/>
    <x v="1"/>
    <n v="0"/>
    <n v="1"/>
    <n v="4"/>
  </r>
  <r>
    <n v="3270"/>
    <x v="39"/>
    <x v="0"/>
    <x v="38"/>
    <x v="0"/>
    <x v="0"/>
    <x v="0"/>
    <x v="0"/>
    <x v="0"/>
    <x v="0"/>
    <n v="20"/>
    <n v="15"/>
    <n v="50"/>
  </r>
  <r>
    <n v="3271"/>
    <x v="40"/>
    <x v="2"/>
    <x v="39"/>
    <x v="1"/>
    <x v="2"/>
    <x v="0"/>
    <x v="1"/>
    <x v="1"/>
    <x v="0"/>
    <n v="20"/>
    <n v="5"/>
    <n v="25"/>
  </r>
  <r>
    <n v="3272"/>
    <x v="41"/>
    <x v="1"/>
    <x v="40"/>
    <x v="0"/>
    <x v="1"/>
    <x v="1"/>
    <x v="1"/>
    <x v="1"/>
    <x v="1"/>
    <n v="0"/>
    <n v="0"/>
    <n v="5"/>
  </r>
  <r>
    <n v="3273"/>
    <x v="42"/>
    <x v="0"/>
    <x v="41"/>
    <x v="1"/>
    <x v="0"/>
    <x v="2"/>
    <x v="0"/>
    <x v="0"/>
    <x v="0"/>
    <n v="20"/>
    <n v="20"/>
    <n v="45"/>
  </r>
  <r>
    <n v="3274"/>
    <x v="43"/>
    <x v="2"/>
    <x v="42"/>
    <x v="0"/>
    <x v="2"/>
    <x v="2"/>
    <x v="1"/>
    <x v="1"/>
    <x v="0"/>
    <n v="20"/>
    <n v="12"/>
    <n v="18"/>
  </r>
  <r>
    <n v="3275"/>
    <x v="44"/>
    <x v="1"/>
    <x v="43"/>
    <x v="1"/>
    <x v="1"/>
    <x v="0"/>
    <x v="1"/>
    <x v="1"/>
    <x v="1"/>
    <n v="0"/>
    <n v="2"/>
    <n v="3"/>
  </r>
  <r>
    <n v="3276"/>
    <x v="45"/>
    <x v="0"/>
    <x v="44"/>
    <x v="0"/>
    <x v="0"/>
    <x v="1"/>
    <x v="0"/>
    <x v="0"/>
    <x v="0"/>
    <n v="20"/>
    <n v="5"/>
    <n v="60"/>
  </r>
  <r>
    <n v="3277"/>
    <x v="46"/>
    <x v="2"/>
    <x v="45"/>
    <x v="1"/>
    <x v="2"/>
    <x v="0"/>
    <x v="1"/>
    <x v="1"/>
    <x v="0"/>
    <n v="20"/>
    <n v="10"/>
    <n v="20"/>
  </r>
  <r>
    <n v="3278"/>
    <x v="47"/>
    <x v="1"/>
    <x v="46"/>
    <x v="0"/>
    <x v="1"/>
    <x v="2"/>
    <x v="1"/>
    <x v="1"/>
    <x v="1"/>
    <n v="0"/>
    <n v="0"/>
    <n v="5"/>
  </r>
  <r>
    <n v="3279"/>
    <x v="48"/>
    <x v="0"/>
    <x v="47"/>
    <x v="1"/>
    <x v="0"/>
    <x v="0"/>
    <x v="0"/>
    <x v="0"/>
    <x v="0"/>
    <n v="20"/>
    <n v="3"/>
    <n v="62"/>
  </r>
  <r>
    <n v="3280"/>
    <x v="49"/>
    <x v="2"/>
    <x v="48"/>
    <x v="0"/>
    <x v="2"/>
    <x v="1"/>
    <x v="1"/>
    <x v="1"/>
    <x v="0"/>
    <n v="20"/>
    <n v="15"/>
    <n v="15"/>
  </r>
  <r>
    <n v="3281"/>
    <x v="50"/>
    <x v="1"/>
    <x v="49"/>
    <x v="1"/>
    <x v="1"/>
    <x v="0"/>
    <x v="1"/>
    <x v="1"/>
    <x v="1"/>
    <n v="0"/>
    <n v="1"/>
    <n v="4"/>
  </r>
  <r>
    <n v="3282"/>
    <x v="51"/>
    <x v="0"/>
    <x v="50"/>
    <x v="0"/>
    <x v="0"/>
    <x v="2"/>
    <x v="0"/>
    <x v="0"/>
    <x v="0"/>
    <n v="20"/>
    <n v="7"/>
    <n v="58"/>
  </r>
  <r>
    <n v="3283"/>
    <x v="52"/>
    <x v="2"/>
    <x v="51"/>
    <x v="1"/>
    <x v="2"/>
    <x v="0"/>
    <x v="1"/>
    <x v="1"/>
    <x v="0"/>
    <n v="20"/>
    <n v="10"/>
    <n v="20"/>
  </r>
  <r>
    <n v="3284"/>
    <x v="53"/>
    <x v="1"/>
    <x v="52"/>
    <x v="0"/>
    <x v="1"/>
    <x v="1"/>
    <x v="1"/>
    <x v="1"/>
    <x v="1"/>
    <n v="0"/>
    <n v="0"/>
    <n v="5"/>
  </r>
  <r>
    <n v="3285"/>
    <x v="54"/>
    <x v="0"/>
    <x v="53"/>
    <x v="1"/>
    <x v="0"/>
    <x v="0"/>
    <x v="0"/>
    <x v="0"/>
    <x v="0"/>
    <n v="20"/>
    <n v="20"/>
    <n v="45"/>
  </r>
  <r>
    <n v="3286"/>
    <x v="55"/>
    <x v="2"/>
    <x v="54"/>
    <x v="0"/>
    <x v="2"/>
    <x v="2"/>
    <x v="1"/>
    <x v="1"/>
    <x v="0"/>
    <n v="20"/>
    <n v="15"/>
    <n v="15"/>
  </r>
  <r>
    <n v="3287"/>
    <x v="56"/>
    <x v="1"/>
    <x v="55"/>
    <x v="1"/>
    <x v="1"/>
    <x v="0"/>
    <x v="1"/>
    <x v="1"/>
    <x v="1"/>
    <n v="0"/>
    <n v="1"/>
    <n v="4"/>
  </r>
  <r>
    <n v="3288"/>
    <x v="57"/>
    <x v="0"/>
    <x v="56"/>
    <x v="0"/>
    <x v="0"/>
    <x v="1"/>
    <x v="0"/>
    <x v="0"/>
    <x v="0"/>
    <n v="20"/>
    <n v="3"/>
    <n v="62"/>
  </r>
  <r>
    <n v="3289"/>
    <x v="58"/>
    <x v="2"/>
    <x v="57"/>
    <x v="1"/>
    <x v="2"/>
    <x v="0"/>
    <x v="1"/>
    <x v="1"/>
    <x v="0"/>
    <n v="20"/>
    <n v="10"/>
    <n v="20"/>
  </r>
  <r>
    <n v="3290"/>
    <x v="59"/>
    <x v="1"/>
    <x v="58"/>
    <x v="0"/>
    <x v="1"/>
    <x v="2"/>
    <x v="1"/>
    <x v="1"/>
    <x v="1"/>
    <n v="0"/>
    <n v="0"/>
    <n v="5"/>
  </r>
  <r>
    <n v="3291"/>
    <x v="60"/>
    <x v="0"/>
    <x v="59"/>
    <x v="1"/>
    <x v="0"/>
    <x v="0"/>
    <x v="0"/>
    <x v="0"/>
    <x v="0"/>
    <n v="20"/>
    <n v="5"/>
    <n v="60"/>
  </r>
  <r>
    <n v="3292"/>
    <x v="61"/>
    <x v="2"/>
    <x v="60"/>
    <x v="0"/>
    <x v="2"/>
    <x v="1"/>
    <x v="1"/>
    <x v="1"/>
    <x v="0"/>
    <n v="20"/>
    <n v="15"/>
    <n v="15"/>
  </r>
  <r>
    <n v="3293"/>
    <x v="62"/>
    <x v="1"/>
    <x v="61"/>
    <x v="1"/>
    <x v="1"/>
    <x v="0"/>
    <x v="1"/>
    <x v="1"/>
    <x v="1"/>
    <n v="0"/>
    <n v="1"/>
    <n v="4"/>
  </r>
  <r>
    <n v="3294"/>
    <x v="63"/>
    <x v="0"/>
    <x v="62"/>
    <x v="0"/>
    <x v="0"/>
    <x v="2"/>
    <x v="0"/>
    <x v="0"/>
    <x v="0"/>
    <n v="20"/>
    <n v="20"/>
    <n v="45"/>
  </r>
  <r>
    <n v="3295"/>
    <x v="64"/>
    <x v="2"/>
    <x v="63"/>
    <x v="1"/>
    <x v="2"/>
    <x v="0"/>
    <x v="1"/>
    <x v="1"/>
    <x v="0"/>
    <n v="20"/>
    <n v="5"/>
    <n v="25"/>
  </r>
  <r>
    <n v="3296"/>
    <x v="65"/>
    <x v="1"/>
    <x v="64"/>
    <x v="1"/>
    <x v="1"/>
    <x v="0"/>
    <x v="1"/>
    <x v="1"/>
    <x v="1"/>
    <n v="0"/>
    <n v="0"/>
    <n v="5"/>
  </r>
  <r>
    <n v="3297"/>
    <x v="66"/>
    <x v="0"/>
    <x v="65"/>
    <x v="0"/>
    <x v="0"/>
    <x v="2"/>
    <x v="0"/>
    <x v="0"/>
    <x v="0"/>
    <n v="20"/>
    <n v="7"/>
    <n v="58"/>
  </r>
  <r>
    <n v="3298"/>
    <x v="67"/>
    <x v="2"/>
    <x v="66"/>
    <x v="1"/>
    <x v="2"/>
    <x v="1"/>
    <x v="1"/>
    <x v="1"/>
    <x v="0"/>
    <n v="20"/>
    <n v="10"/>
    <n v="20"/>
  </r>
  <r>
    <n v="3299"/>
    <x v="68"/>
    <x v="1"/>
    <x v="67"/>
    <x v="0"/>
    <x v="1"/>
    <x v="2"/>
    <x v="1"/>
    <x v="1"/>
    <x v="1"/>
    <n v="0"/>
    <n v="1"/>
    <n v="4"/>
  </r>
  <r>
    <n v="3300"/>
    <x v="69"/>
    <x v="0"/>
    <x v="68"/>
    <x v="1"/>
    <x v="0"/>
    <x v="0"/>
    <x v="0"/>
    <x v="0"/>
    <x v="0"/>
    <n v="20"/>
    <n v="15"/>
    <n v="50"/>
  </r>
  <r>
    <n v="3301"/>
    <x v="70"/>
    <x v="2"/>
    <x v="69"/>
    <x v="0"/>
    <x v="2"/>
    <x v="0"/>
    <x v="1"/>
    <x v="1"/>
    <x v="0"/>
    <n v="20"/>
    <n v="5"/>
    <n v="25"/>
  </r>
  <r>
    <n v="3302"/>
    <x v="71"/>
    <x v="1"/>
    <x v="70"/>
    <x v="1"/>
    <x v="1"/>
    <x v="1"/>
    <x v="1"/>
    <x v="1"/>
    <x v="1"/>
    <n v="0"/>
    <n v="0"/>
    <n v="5"/>
  </r>
  <r>
    <n v="3303"/>
    <x v="72"/>
    <x v="0"/>
    <x v="71"/>
    <x v="0"/>
    <x v="0"/>
    <x v="2"/>
    <x v="0"/>
    <x v="0"/>
    <x v="0"/>
    <n v="20"/>
    <n v="20"/>
    <n v="45"/>
  </r>
  <r>
    <n v="3304"/>
    <x v="73"/>
    <x v="2"/>
    <x v="72"/>
    <x v="1"/>
    <x v="2"/>
    <x v="2"/>
    <x v="1"/>
    <x v="1"/>
    <x v="0"/>
    <n v="20"/>
    <n v="12"/>
    <n v="18"/>
  </r>
  <r>
    <n v="3305"/>
    <x v="74"/>
    <x v="1"/>
    <x v="73"/>
    <x v="0"/>
    <x v="1"/>
    <x v="0"/>
    <x v="1"/>
    <x v="1"/>
    <x v="1"/>
    <n v="0"/>
    <n v="2"/>
    <n v="3"/>
  </r>
  <r>
    <n v="3306"/>
    <x v="75"/>
    <x v="0"/>
    <x v="74"/>
    <x v="1"/>
    <x v="0"/>
    <x v="1"/>
    <x v="0"/>
    <x v="0"/>
    <x v="0"/>
    <n v="20"/>
    <n v="5"/>
    <n v="60"/>
  </r>
  <r>
    <n v="3307"/>
    <x v="76"/>
    <x v="2"/>
    <x v="75"/>
    <x v="0"/>
    <x v="2"/>
    <x v="0"/>
    <x v="1"/>
    <x v="1"/>
    <x v="0"/>
    <n v="20"/>
    <n v="10"/>
    <n v="20"/>
  </r>
  <r>
    <n v="3308"/>
    <x v="77"/>
    <x v="1"/>
    <x v="76"/>
    <x v="1"/>
    <x v="1"/>
    <x v="2"/>
    <x v="1"/>
    <x v="1"/>
    <x v="1"/>
    <n v="0"/>
    <n v="0"/>
    <n v="5"/>
  </r>
  <r>
    <n v="3309"/>
    <x v="78"/>
    <x v="0"/>
    <x v="77"/>
    <x v="0"/>
    <x v="0"/>
    <x v="0"/>
    <x v="0"/>
    <x v="0"/>
    <x v="0"/>
    <n v="20"/>
    <n v="3"/>
    <n v="62"/>
  </r>
  <r>
    <n v="3310"/>
    <x v="79"/>
    <x v="2"/>
    <x v="78"/>
    <x v="1"/>
    <x v="2"/>
    <x v="1"/>
    <x v="1"/>
    <x v="1"/>
    <x v="0"/>
    <n v="20"/>
    <n v="15"/>
    <n v="15"/>
  </r>
  <r>
    <n v="3311"/>
    <x v="80"/>
    <x v="1"/>
    <x v="79"/>
    <x v="0"/>
    <x v="1"/>
    <x v="0"/>
    <x v="1"/>
    <x v="1"/>
    <x v="1"/>
    <n v="0"/>
    <n v="1"/>
    <n v="4"/>
  </r>
  <r>
    <n v="3312"/>
    <x v="81"/>
    <x v="0"/>
    <x v="80"/>
    <x v="1"/>
    <x v="0"/>
    <x v="2"/>
    <x v="0"/>
    <x v="0"/>
    <x v="0"/>
    <n v="20"/>
    <n v="7"/>
    <n v="58"/>
  </r>
  <r>
    <n v="3313"/>
    <x v="82"/>
    <x v="2"/>
    <x v="81"/>
    <x v="0"/>
    <x v="2"/>
    <x v="0"/>
    <x v="1"/>
    <x v="1"/>
    <x v="0"/>
    <n v="20"/>
    <n v="10"/>
    <n v="20"/>
  </r>
  <r>
    <n v="3314"/>
    <x v="83"/>
    <x v="1"/>
    <x v="82"/>
    <x v="1"/>
    <x v="1"/>
    <x v="1"/>
    <x v="1"/>
    <x v="1"/>
    <x v="1"/>
    <n v="0"/>
    <n v="0"/>
    <n v="5"/>
  </r>
  <r>
    <n v="3315"/>
    <x v="84"/>
    <x v="0"/>
    <x v="83"/>
    <x v="0"/>
    <x v="0"/>
    <x v="0"/>
    <x v="0"/>
    <x v="0"/>
    <x v="0"/>
    <n v="20"/>
    <n v="20"/>
    <n v="45"/>
  </r>
  <r>
    <n v="3316"/>
    <x v="85"/>
    <x v="2"/>
    <x v="84"/>
    <x v="1"/>
    <x v="2"/>
    <x v="2"/>
    <x v="1"/>
    <x v="1"/>
    <x v="0"/>
    <n v="20"/>
    <n v="15"/>
    <n v="15"/>
  </r>
  <r>
    <n v="3317"/>
    <x v="86"/>
    <x v="1"/>
    <x v="85"/>
    <x v="0"/>
    <x v="1"/>
    <x v="0"/>
    <x v="1"/>
    <x v="1"/>
    <x v="1"/>
    <n v="0"/>
    <n v="1"/>
    <n v="4"/>
  </r>
  <r>
    <n v="3318"/>
    <x v="87"/>
    <x v="0"/>
    <x v="86"/>
    <x v="1"/>
    <x v="0"/>
    <x v="1"/>
    <x v="0"/>
    <x v="0"/>
    <x v="0"/>
    <n v="20"/>
    <n v="3"/>
    <n v="62"/>
  </r>
  <r>
    <n v="3319"/>
    <x v="88"/>
    <x v="2"/>
    <x v="87"/>
    <x v="0"/>
    <x v="2"/>
    <x v="0"/>
    <x v="1"/>
    <x v="1"/>
    <x v="0"/>
    <n v="20"/>
    <n v="10"/>
    <n v="20"/>
  </r>
  <r>
    <n v="3320"/>
    <x v="89"/>
    <x v="1"/>
    <x v="88"/>
    <x v="1"/>
    <x v="1"/>
    <x v="2"/>
    <x v="1"/>
    <x v="1"/>
    <x v="1"/>
    <n v="0"/>
    <n v="0"/>
    <n v="5"/>
  </r>
  <r>
    <n v="3321"/>
    <x v="90"/>
    <x v="0"/>
    <x v="89"/>
    <x v="0"/>
    <x v="0"/>
    <x v="0"/>
    <x v="0"/>
    <x v="0"/>
    <x v="0"/>
    <n v="20"/>
    <n v="5"/>
    <n v="60"/>
  </r>
  <r>
    <n v="3322"/>
    <x v="91"/>
    <x v="2"/>
    <x v="90"/>
    <x v="1"/>
    <x v="2"/>
    <x v="1"/>
    <x v="1"/>
    <x v="1"/>
    <x v="0"/>
    <n v="20"/>
    <n v="15"/>
    <n v="15"/>
  </r>
  <r>
    <n v="3323"/>
    <x v="92"/>
    <x v="1"/>
    <x v="91"/>
    <x v="0"/>
    <x v="1"/>
    <x v="0"/>
    <x v="1"/>
    <x v="1"/>
    <x v="1"/>
    <n v="0"/>
    <n v="1"/>
    <n v="4"/>
  </r>
  <r>
    <n v="3324"/>
    <x v="93"/>
    <x v="0"/>
    <x v="92"/>
    <x v="1"/>
    <x v="0"/>
    <x v="2"/>
    <x v="0"/>
    <x v="0"/>
    <x v="0"/>
    <n v="20"/>
    <n v="20"/>
    <n v="45"/>
  </r>
  <r>
    <n v="3325"/>
    <x v="94"/>
    <x v="2"/>
    <x v="93"/>
    <x v="0"/>
    <x v="2"/>
    <x v="2"/>
    <x v="1"/>
    <x v="1"/>
    <x v="0"/>
    <n v="20"/>
    <n v="15"/>
    <n v="15"/>
  </r>
  <r>
    <n v="3326"/>
    <x v="95"/>
    <x v="1"/>
    <x v="94"/>
    <x v="1"/>
    <x v="1"/>
    <x v="1"/>
    <x v="1"/>
    <x v="1"/>
    <x v="1"/>
    <n v="0"/>
    <n v="0"/>
    <n v="5"/>
  </r>
  <r>
    <n v="3327"/>
    <x v="96"/>
    <x v="0"/>
    <x v="95"/>
    <x v="0"/>
    <x v="0"/>
    <x v="0"/>
    <x v="0"/>
    <x v="0"/>
    <x v="0"/>
    <n v="20"/>
    <n v="7"/>
    <n v="58"/>
  </r>
  <r>
    <n v="3328"/>
    <x v="97"/>
    <x v="2"/>
    <x v="96"/>
    <x v="1"/>
    <x v="2"/>
    <x v="1"/>
    <x v="1"/>
    <x v="1"/>
    <x v="0"/>
    <n v="20"/>
    <n v="10"/>
    <n v="20"/>
  </r>
  <r>
    <n v="3329"/>
    <x v="98"/>
    <x v="1"/>
    <x v="97"/>
    <x v="0"/>
    <x v="1"/>
    <x v="2"/>
    <x v="1"/>
    <x v="1"/>
    <x v="1"/>
    <n v="0"/>
    <n v="1"/>
    <n v="4"/>
  </r>
  <r>
    <n v="3330"/>
    <x v="99"/>
    <x v="0"/>
    <x v="98"/>
    <x v="1"/>
    <x v="0"/>
    <x v="0"/>
    <x v="0"/>
    <x v="0"/>
    <x v="0"/>
    <n v="20"/>
    <n v="15"/>
    <n v="50"/>
  </r>
  <r>
    <n v="3331"/>
    <x v="100"/>
    <x v="2"/>
    <x v="99"/>
    <x v="0"/>
    <x v="2"/>
    <x v="0"/>
    <x v="1"/>
    <x v="1"/>
    <x v="0"/>
    <n v="20"/>
    <n v="5"/>
    <n v="25"/>
  </r>
  <r>
    <n v="3332"/>
    <x v="101"/>
    <x v="1"/>
    <x v="100"/>
    <x v="1"/>
    <x v="1"/>
    <x v="1"/>
    <x v="1"/>
    <x v="1"/>
    <x v="1"/>
    <n v="0"/>
    <n v="0"/>
    <n v="5"/>
  </r>
  <r>
    <n v="3333"/>
    <x v="102"/>
    <x v="0"/>
    <x v="101"/>
    <x v="0"/>
    <x v="0"/>
    <x v="2"/>
    <x v="0"/>
    <x v="0"/>
    <x v="0"/>
    <n v="20"/>
    <n v="20"/>
    <n v="45"/>
  </r>
  <r>
    <n v="3334"/>
    <x v="103"/>
    <x v="2"/>
    <x v="102"/>
    <x v="1"/>
    <x v="2"/>
    <x v="2"/>
    <x v="1"/>
    <x v="1"/>
    <x v="0"/>
    <n v="20"/>
    <n v="12"/>
    <n v="18"/>
  </r>
  <r>
    <n v="3335"/>
    <x v="104"/>
    <x v="1"/>
    <x v="103"/>
    <x v="0"/>
    <x v="1"/>
    <x v="0"/>
    <x v="1"/>
    <x v="1"/>
    <x v="1"/>
    <n v="0"/>
    <n v="2"/>
    <n v="3"/>
  </r>
  <r>
    <n v="3336"/>
    <x v="105"/>
    <x v="1"/>
    <x v="104"/>
    <x v="0"/>
    <x v="1"/>
    <x v="0"/>
    <x v="1"/>
    <x v="1"/>
    <x v="1"/>
    <n v="0"/>
    <n v="0"/>
    <n v="5"/>
  </r>
  <r>
    <n v="3337"/>
    <x v="106"/>
    <x v="0"/>
    <x v="105"/>
    <x v="1"/>
    <x v="0"/>
    <x v="2"/>
    <x v="0"/>
    <x v="0"/>
    <x v="0"/>
    <n v="20"/>
    <n v="7"/>
    <n v="58"/>
  </r>
  <r>
    <n v="3338"/>
    <x v="107"/>
    <x v="2"/>
    <x v="106"/>
    <x v="0"/>
    <x v="2"/>
    <x v="1"/>
    <x v="1"/>
    <x v="1"/>
    <x v="0"/>
    <n v="20"/>
    <n v="10"/>
    <n v="20"/>
  </r>
  <r>
    <n v="3339"/>
    <x v="108"/>
    <x v="1"/>
    <x v="107"/>
    <x v="1"/>
    <x v="1"/>
    <x v="2"/>
    <x v="1"/>
    <x v="1"/>
    <x v="1"/>
    <n v="0"/>
    <n v="1"/>
    <n v="4"/>
  </r>
  <r>
    <n v="3340"/>
    <x v="109"/>
    <x v="0"/>
    <x v="108"/>
    <x v="0"/>
    <x v="0"/>
    <x v="0"/>
    <x v="0"/>
    <x v="0"/>
    <x v="0"/>
    <n v="20"/>
    <n v="15"/>
    <n v="50"/>
  </r>
  <r>
    <n v="3341"/>
    <x v="110"/>
    <x v="2"/>
    <x v="109"/>
    <x v="1"/>
    <x v="2"/>
    <x v="0"/>
    <x v="1"/>
    <x v="1"/>
    <x v="0"/>
    <n v="20"/>
    <n v="5"/>
    <n v="25"/>
  </r>
  <r>
    <n v="3342"/>
    <x v="111"/>
    <x v="1"/>
    <x v="110"/>
    <x v="0"/>
    <x v="1"/>
    <x v="1"/>
    <x v="1"/>
    <x v="1"/>
    <x v="1"/>
    <n v="0"/>
    <n v="0"/>
    <n v="5"/>
  </r>
  <r>
    <n v="3343"/>
    <x v="112"/>
    <x v="0"/>
    <x v="111"/>
    <x v="1"/>
    <x v="0"/>
    <x v="2"/>
    <x v="0"/>
    <x v="0"/>
    <x v="0"/>
    <n v="20"/>
    <n v="20"/>
    <n v="45"/>
  </r>
  <r>
    <n v="3344"/>
    <x v="113"/>
    <x v="2"/>
    <x v="112"/>
    <x v="0"/>
    <x v="2"/>
    <x v="2"/>
    <x v="1"/>
    <x v="1"/>
    <x v="0"/>
    <n v="20"/>
    <n v="12"/>
    <n v="18"/>
  </r>
  <r>
    <n v="3345"/>
    <x v="114"/>
    <x v="1"/>
    <x v="113"/>
    <x v="1"/>
    <x v="1"/>
    <x v="0"/>
    <x v="1"/>
    <x v="1"/>
    <x v="1"/>
    <n v="0"/>
    <n v="2"/>
    <n v="3"/>
  </r>
  <r>
    <n v="3346"/>
    <x v="115"/>
    <x v="0"/>
    <x v="114"/>
    <x v="0"/>
    <x v="0"/>
    <x v="1"/>
    <x v="0"/>
    <x v="0"/>
    <x v="0"/>
    <n v="20"/>
    <n v="5"/>
    <n v="60"/>
  </r>
  <r>
    <n v="3347"/>
    <x v="116"/>
    <x v="2"/>
    <x v="115"/>
    <x v="1"/>
    <x v="2"/>
    <x v="0"/>
    <x v="1"/>
    <x v="1"/>
    <x v="0"/>
    <n v="20"/>
    <n v="10"/>
    <n v="20"/>
  </r>
  <r>
    <n v="3348"/>
    <x v="117"/>
    <x v="1"/>
    <x v="116"/>
    <x v="0"/>
    <x v="1"/>
    <x v="2"/>
    <x v="1"/>
    <x v="1"/>
    <x v="1"/>
    <n v="0"/>
    <n v="0"/>
    <n v="5"/>
  </r>
  <r>
    <n v="3349"/>
    <x v="93"/>
    <x v="0"/>
    <x v="117"/>
    <x v="1"/>
    <x v="0"/>
    <x v="0"/>
    <x v="0"/>
    <x v="0"/>
    <x v="0"/>
    <n v="20"/>
    <n v="3"/>
    <n v="62"/>
  </r>
  <r>
    <n v="3350"/>
    <x v="118"/>
    <x v="2"/>
    <x v="118"/>
    <x v="0"/>
    <x v="2"/>
    <x v="1"/>
    <x v="1"/>
    <x v="1"/>
    <x v="0"/>
    <n v="20"/>
    <n v="15"/>
    <n v="15"/>
  </r>
  <r>
    <n v="3351"/>
    <x v="119"/>
    <x v="1"/>
    <x v="119"/>
    <x v="1"/>
    <x v="1"/>
    <x v="0"/>
    <x v="1"/>
    <x v="1"/>
    <x v="1"/>
    <n v="0"/>
    <n v="1"/>
    <n v="4"/>
  </r>
  <r>
    <n v="3352"/>
    <x v="120"/>
    <x v="0"/>
    <x v="120"/>
    <x v="0"/>
    <x v="0"/>
    <x v="2"/>
    <x v="0"/>
    <x v="0"/>
    <x v="0"/>
    <n v="20"/>
    <n v="7"/>
    <n v="58"/>
  </r>
  <r>
    <n v="3353"/>
    <x v="121"/>
    <x v="2"/>
    <x v="121"/>
    <x v="1"/>
    <x v="2"/>
    <x v="0"/>
    <x v="1"/>
    <x v="1"/>
    <x v="0"/>
    <n v="20"/>
    <n v="10"/>
    <n v="20"/>
  </r>
  <r>
    <n v="3354"/>
    <x v="122"/>
    <x v="1"/>
    <x v="122"/>
    <x v="0"/>
    <x v="1"/>
    <x v="1"/>
    <x v="1"/>
    <x v="1"/>
    <x v="1"/>
    <n v="0"/>
    <n v="0"/>
    <n v="5"/>
  </r>
  <r>
    <n v="3355"/>
    <x v="123"/>
    <x v="0"/>
    <x v="123"/>
    <x v="1"/>
    <x v="0"/>
    <x v="0"/>
    <x v="0"/>
    <x v="0"/>
    <x v="0"/>
    <n v="20"/>
    <n v="20"/>
    <n v="45"/>
  </r>
  <r>
    <n v="3356"/>
    <x v="124"/>
    <x v="2"/>
    <x v="124"/>
    <x v="0"/>
    <x v="2"/>
    <x v="2"/>
    <x v="1"/>
    <x v="1"/>
    <x v="0"/>
    <n v="20"/>
    <n v="15"/>
    <n v="15"/>
  </r>
  <r>
    <n v="3357"/>
    <x v="125"/>
    <x v="1"/>
    <x v="125"/>
    <x v="1"/>
    <x v="1"/>
    <x v="0"/>
    <x v="1"/>
    <x v="1"/>
    <x v="1"/>
    <n v="0"/>
    <n v="1"/>
    <n v="4"/>
  </r>
  <r>
    <n v="3358"/>
    <x v="126"/>
    <x v="0"/>
    <x v="126"/>
    <x v="0"/>
    <x v="0"/>
    <x v="1"/>
    <x v="0"/>
    <x v="0"/>
    <x v="0"/>
    <n v="20"/>
    <n v="3"/>
    <n v="62"/>
  </r>
  <r>
    <n v="3359"/>
    <x v="127"/>
    <x v="2"/>
    <x v="127"/>
    <x v="1"/>
    <x v="2"/>
    <x v="0"/>
    <x v="1"/>
    <x v="1"/>
    <x v="0"/>
    <n v="20"/>
    <n v="10"/>
    <n v="20"/>
  </r>
  <r>
    <n v="3360"/>
    <x v="128"/>
    <x v="1"/>
    <x v="128"/>
    <x v="0"/>
    <x v="1"/>
    <x v="2"/>
    <x v="1"/>
    <x v="1"/>
    <x v="1"/>
    <n v="0"/>
    <n v="0"/>
    <n v="5"/>
  </r>
  <r>
    <n v="3361"/>
    <x v="129"/>
    <x v="0"/>
    <x v="129"/>
    <x v="1"/>
    <x v="0"/>
    <x v="0"/>
    <x v="0"/>
    <x v="0"/>
    <x v="0"/>
    <n v="20"/>
    <n v="15"/>
    <n v="50"/>
  </r>
  <r>
    <n v="3362"/>
    <x v="130"/>
    <x v="2"/>
    <x v="130"/>
    <x v="0"/>
    <x v="2"/>
    <x v="1"/>
    <x v="1"/>
    <x v="1"/>
    <x v="0"/>
    <n v="20"/>
    <n v="15"/>
    <n v="15"/>
  </r>
  <r>
    <n v="3363"/>
    <x v="131"/>
    <x v="1"/>
    <x v="131"/>
    <x v="1"/>
    <x v="1"/>
    <x v="0"/>
    <x v="1"/>
    <x v="1"/>
    <x v="1"/>
    <n v="0"/>
    <n v="1"/>
    <n v="4"/>
  </r>
  <r>
    <n v="3364"/>
    <x v="132"/>
    <x v="0"/>
    <x v="132"/>
    <x v="0"/>
    <x v="0"/>
    <x v="2"/>
    <x v="0"/>
    <x v="0"/>
    <x v="0"/>
    <n v="20"/>
    <n v="7"/>
    <n v="58"/>
  </r>
  <r>
    <n v="3365"/>
    <x v="133"/>
    <x v="2"/>
    <x v="133"/>
    <x v="1"/>
    <x v="2"/>
    <x v="0"/>
    <x v="1"/>
    <x v="1"/>
    <x v="0"/>
    <n v="20"/>
    <n v="10"/>
    <n v="20"/>
  </r>
  <r>
    <n v="3366"/>
    <x v="134"/>
    <x v="1"/>
    <x v="134"/>
    <x v="0"/>
    <x v="1"/>
    <x v="0"/>
    <x v="1"/>
    <x v="1"/>
    <x v="1"/>
    <n v="0"/>
    <n v="0"/>
    <n v="5"/>
  </r>
  <r>
    <n v="3367"/>
    <x v="135"/>
    <x v="0"/>
    <x v="135"/>
    <x v="1"/>
    <x v="0"/>
    <x v="2"/>
    <x v="0"/>
    <x v="0"/>
    <x v="0"/>
    <n v="20"/>
    <n v="7"/>
    <n v="58"/>
  </r>
  <r>
    <n v="3368"/>
    <x v="136"/>
    <x v="2"/>
    <x v="136"/>
    <x v="0"/>
    <x v="2"/>
    <x v="1"/>
    <x v="1"/>
    <x v="1"/>
    <x v="0"/>
    <n v="20"/>
    <n v="10"/>
    <n v="20"/>
  </r>
  <r>
    <n v="3369"/>
    <x v="137"/>
    <x v="1"/>
    <x v="137"/>
    <x v="1"/>
    <x v="1"/>
    <x v="2"/>
    <x v="1"/>
    <x v="1"/>
    <x v="1"/>
    <n v="0"/>
    <n v="1"/>
    <n v="4"/>
  </r>
  <r>
    <n v="3370"/>
    <x v="138"/>
    <x v="0"/>
    <x v="138"/>
    <x v="0"/>
    <x v="0"/>
    <x v="0"/>
    <x v="0"/>
    <x v="0"/>
    <x v="0"/>
    <n v="20"/>
    <n v="15"/>
    <n v="50"/>
  </r>
  <r>
    <n v="3371"/>
    <x v="139"/>
    <x v="2"/>
    <x v="139"/>
    <x v="1"/>
    <x v="2"/>
    <x v="0"/>
    <x v="1"/>
    <x v="1"/>
    <x v="0"/>
    <n v="20"/>
    <n v="5"/>
    <n v="25"/>
  </r>
  <r>
    <n v="3372"/>
    <x v="140"/>
    <x v="1"/>
    <x v="140"/>
    <x v="0"/>
    <x v="1"/>
    <x v="1"/>
    <x v="1"/>
    <x v="1"/>
    <x v="1"/>
    <n v="0"/>
    <n v="0"/>
    <n v="5"/>
  </r>
  <r>
    <n v="3373"/>
    <x v="141"/>
    <x v="0"/>
    <x v="141"/>
    <x v="1"/>
    <x v="0"/>
    <x v="2"/>
    <x v="0"/>
    <x v="0"/>
    <x v="0"/>
    <n v="20"/>
    <n v="20"/>
    <n v="45"/>
  </r>
  <r>
    <n v="3374"/>
    <x v="142"/>
    <x v="2"/>
    <x v="142"/>
    <x v="0"/>
    <x v="2"/>
    <x v="2"/>
    <x v="1"/>
    <x v="1"/>
    <x v="0"/>
    <n v="20"/>
    <n v="12"/>
    <n v="18"/>
  </r>
  <r>
    <n v="3375"/>
    <x v="143"/>
    <x v="1"/>
    <x v="143"/>
    <x v="1"/>
    <x v="1"/>
    <x v="0"/>
    <x v="1"/>
    <x v="1"/>
    <x v="1"/>
    <n v="0"/>
    <n v="2"/>
    <n v="3"/>
  </r>
  <r>
    <n v="3376"/>
    <x v="144"/>
    <x v="0"/>
    <x v="144"/>
    <x v="0"/>
    <x v="0"/>
    <x v="1"/>
    <x v="0"/>
    <x v="0"/>
    <x v="0"/>
    <n v="20"/>
    <n v="5"/>
    <n v="60"/>
  </r>
  <r>
    <n v="3377"/>
    <x v="145"/>
    <x v="2"/>
    <x v="145"/>
    <x v="1"/>
    <x v="2"/>
    <x v="0"/>
    <x v="1"/>
    <x v="1"/>
    <x v="0"/>
    <n v="20"/>
    <n v="10"/>
    <n v="20"/>
  </r>
  <r>
    <n v="3378"/>
    <x v="146"/>
    <x v="1"/>
    <x v="146"/>
    <x v="0"/>
    <x v="1"/>
    <x v="2"/>
    <x v="1"/>
    <x v="1"/>
    <x v="1"/>
    <n v="0"/>
    <n v="0"/>
    <n v="5"/>
  </r>
  <r>
    <n v="3379"/>
    <x v="147"/>
    <x v="0"/>
    <x v="147"/>
    <x v="1"/>
    <x v="0"/>
    <x v="0"/>
    <x v="0"/>
    <x v="0"/>
    <x v="0"/>
    <n v="20"/>
    <n v="3"/>
    <n v="62"/>
  </r>
  <r>
    <n v="3380"/>
    <x v="148"/>
    <x v="2"/>
    <x v="148"/>
    <x v="0"/>
    <x v="2"/>
    <x v="1"/>
    <x v="1"/>
    <x v="1"/>
    <x v="0"/>
    <n v="20"/>
    <n v="15"/>
    <n v="15"/>
  </r>
  <r>
    <n v="3381"/>
    <x v="149"/>
    <x v="1"/>
    <x v="149"/>
    <x v="1"/>
    <x v="1"/>
    <x v="0"/>
    <x v="1"/>
    <x v="1"/>
    <x v="1"/>
    <n v="0"/>
    <n v="1"/>
    <n v="4"/>
  </r>
  <r>
    <n v="3382"/>
    <x v="150"/>
    <x v="0"/>
    <x v="150"/>
    <x v="0"/>
    <x v="0"/>
    <x v="2"/>
    <x v="0"/>
    <x v="0"/>
    <x v="0"/>
    <n v="20"/>
    <n v="7"/>
    <n v="58"/>
  </r>
  <r>
    <n v="3383"/>
    <x v="151"/>
    <x v="2"/>
    <x v="151"/>
    <x v="1"/>
    <x v="2"/>
    <x v="0"/>
    <x v="1"/>
    <x v="1"/>
    <x v="0"/>
    <n v="20"/>
    <n v="10"/>
    <n v="20"/>
  </r>
  <r>
    <n v="3384"/>
    <x v="152"/>
    <x v="1"/>
    <x v="152"/>
    <x v="0"/>
    <x v="1"/>
    <x v="1"/>
    <x v="1"/>
    <x v="1"/>
    <x v="1"/>
    <n v="0"/>
    <n v="0"/>
    <n v="5"/>
  </r>
  <r>
    <n v="3385"/>
    <x v="153"/>
    <x v="0"/>
    <x v="153"/>
    <x v="1"/>
    <x v="0"/>
    <x v="0"/>
    <x v="0"/>
    <x v="0"/>
    <x v="0"/>
    <n v="20"/>
    <n v="20"/>
    <n v="45"/>
  </r>
  <r>
    <n v="3386"/>
    <x v="154"/>
    <x v="2"/>
    <x v="154"/>
    <x v="0"/>
    <x v="2"/>
    <x v="2"/>
    <x v="1"/>
    <x v="1"/>
    <x v="0"/>
    <n v="20"/>
    <n v="15"/>
    <n v="15"/>
  </r>
  <r>
    <n v="3387"/>
    <x v="155"/>
    <x v="1"/>
    <x v="155"/>
    <x v="1"/>
    <x v="1"/>
    <x v="0"/>
    <x v="1"/>
    <x v="1"/>
    <x v="1"/>
    <n v="0"/>
    <n v="1"/>
    <n v="4"/>
  </r>
  <r>
    <n v="3388"/>
    <x v="156"/>
    <x v="0"/>
    <x v="156"/>
    <x v="0"/>
    <x v="0"/>
    <x v="1"/>
    <x v="0"/>
    <x v="0"/>
    <x v="0"/>
    <n v="20"/>
    <n v="3"/>
    <n v="62"/>
  </r>
  <r>
    <n v="3389"/>
    <x v="157"/>
    <x v="2"/>
    <x v="157"/>
    <x v="1"/>
    <x v="2"/>
    <x v="0"/>
    <x v="1"/>
    <x v="1"/>
    <x v="0"/>
    <n v="20"/>
    <n v="10"/>
    <n v="20"/>
  </r>
  <r>
    <n v="3390"/>
    <x v="158"/>
    <x v="1"/>
    <x v="158"/>
    <x v="0"/>
    <x v="1"/>
    <x v="2"/>
    <x v="1"/>
    <x v="1"/>
    <x v="1"/>
    <n v="0"/>
    <n v="0"/>
    <n v="5"/>
  </r>
  <r>
    <n v="3391"/>
    <x v="58"/>
    <x v="0"/>
    <x v="159"/>
    <x v="1"/>
    <x v="0"/>
    <x v="0"/>
    <x v="0"/>
    <x v="0"/>
    <x v="0"/>
    <n v="20"/>
    <n v="15"/>
    <n v="50"/>
  </r>
  <r>
    <n v="3392"/>
    <x v="159"/>
    <x v="2"/>
    <x v="160"/>
    <x v="0"/>
    <x v="2"/>
    <x v="1"/>
    <x v="1"/>
    <x v="1"/>
    <x v="0"/>
    <n v="20"/>
    <n v="15"/>
    <n v="15"/>
  </r>
  <r>
    <n v="3393"/>
    <x v="160"/>
    <x v="1"/>
    <x v="161"/>
    <x v="1"/>
    <x v="1"/>
    <x v="0"/>
    <x v="1"/>
    <x v="1"/>
    <x v="1"/>
    <n v="0"/>
    <n v="1"/>
    <n v="4"/>
  </r>
  <r>
    <n v="3394"/>
    <x v="161"/>
    <x v="0"/>
    <x v="162"/>
    <x v="0"/>
    <x v="0"/>
    <x v="2"/>
    <x v="0"/>
    <x v="0"/>
    <x v="0"/>
    <n v="20"/>
    <n v="7"/>
    <n v="58"/>
  </r>
  <r>
    <n v="3395"/>
    <x v="162"/>
    <x v="2"/>
    <x v="163"/>
    <x v="1"/>
    <x v="2"/>
    <x v="0"/>
    <x v="1"/>
    <x v="1"/>
    <x v="0"/>
    <n v="20"/>
    <n v="10"/>
    <n v="20"/>
  </r>
  <r>
    <n v="3396"/>
    <x v="163"/>
    <x v="1"/>
    <x v="164"/>
    <x v="0"/>
    <x v="1"/>
    <x v="1"/>
    <x v="1"/>
    <x v="1"/>
    <x v="1"/>
    <n v="0"/>
    <n v="0"/>
    <n v="5"/>
  </r>
  <r>
    <n v="3397"/>
    <x v="90"/>
    <x v="0"/>
    <x v="165"/>
    <x v="1"/>
    <x v="0"/>
    <x v="0"/>
    <x v="0"/>
    <x v="0"/>
    <x v="0"/>
    <n v="20"/>
    <n v="20"/>
    <n v="45"/>
  </r>
  <r>
    <n v="3398"/>
    <x v="164"/>
    <x v="2"/>
    <x v="166"/>
    <x v="0"/>
    <x v="2"/>
    <x v="2"/>
    <x v="1"/>
    <x v="1"/>
    <x v="0"/>
    <n v="20"/>
    <n v="15"/>
    <n v="15"/>
  </r>
  <r>
    <n v="3399"/>
    <x v="165"/>
    <x v="1"/>
    <x v="167"/>
    <x v="1"/>
    <x v="1"/>
    <x v="0"/>
    <x v="1"/>
    <x v="1"/>
    <x v="1"/>
    <n v="0"/>
    <n v="1"/>
    <n v="4"/>
  </r>
  <r>
    <n v="3400"/>
    <x v="166"/>
    <x v="0"/>
    <x v="168"/>
    <x v="0"/>
    <x v="0"/>
    <x v="1"/>
    <x v="0"/>
    <x v="0"/>
    <x v="0"/>
    <n v="20"/>
    <n v="5"/>
    <n v="60"/>
  </r>
  <r>
    <n v="3401"/>
    <x v="167"/>
    <x v="2"/>
    <x v="169"/>
    <x v="1"/>
    <x v="2"/>
    <x v="0"/>
    <x v="1"/>
    <x v="1"/>
    <x v="0"/>
    <n v="20"/>
    <n v="10"/>
    <n v="20"/>
  </r>
  <r>
    <n v="3402"/>
    <x v="168"/>
    <x v="1"/>
    <x v="170"/>
    <x v="0"/>
    <x v="1"/>
    <x v="2"/>
    <x v="1"/>
    <x v="1"/>
    <x v="1"/>
    <n v="0"/>
    <n v="0"/>
    <n v="5"/>
  </r>
  <r>
    <n v="3403"/>
    <x v="169"/>
    <x v="0"/>
    <x v="171"/>
    <x v="1"/>
    <x v="0"/>
    <x v="0"/>
    <x v="0"/>
    <x v="0"/>
    <x v="0"/>
    <n v="20"/>
    <n v="3"/>
    <n v="62"/>
  </r>
  <r>
    <n v="3404"/>
    <x v="170"/>
    <x v="2"/>
    <x v="172"/>
    <x v="0"/>
    <x v="2"/>
    <x v="1"/>
    <x v="1"/>
    <x v="1"/>
    <x v="0"/>
    <n v="20"/>
    <n v="15"/>
    <n v="15"/>
  </r>
  <r>
    <n v="3405"/>
    <x v="171"/>
    <x v="1"/>
    <x v="173"/>
    <x v="1"/>
    <x v="1"/>
    <x v="0"/>
    <x v="1"/>
    <x v="1"/>
    <x v="1"/>
    <n v="0"/>
    <n v="1"/>
    <n v="4"/>
  </r>
  <r>
    <n v="3406"/>
    <x v="172"/>
    <x v="1"/>
    <x v="174"/>
    <x v="0"/>
    <x v="1"/>
    <x v="0"/>
    <x v="1"/>
    <x v="1"/>
    <x v="1"/>
    <n v="0"/>
    <n v="0"/>
    <n v="5"/>
  </r>
  <r>
    <n v="3407"/>
    <x v="173"/>
    <x v="0"/>
    <x v="175"/>
    <x v="1"/>
    <x v="0"/>
    <x v="2"/>
    <x v="0"/>
    <x v="0"/>
    <x v="0"/>
    <n v="20"/>
    <n v="7"/>
    <n v="58"/>
  </r>
  <r>
    <n v="3408"/>
    <x v="174"/>
    <x v="2"/>
    <x v="176"/>
    <x v="0"/>
    <x v="2"/>
    <x v="1"/>
    <x v="1"/>
    <x v="1"/>
    <x v="0"/>
    <n v="20"/>
    <n v="10"/>
    <n v="20"/>
  </r>
  <r>
    <n v="3409"/>
    <x v="175"/>
    <x v="1"/>
    <x v="177"/>
    <x v="1"/>
    <x v="1"/>
    <x v="2"/>
    <x v="1"/>
    <x v="1"/>
    <x v="1"/>
    <n v="0"/>
    <n v="1"/>
    <n v="4"/>
  </r>
  <r>
    <n v="3410"/>
    <x v="176"/>
    <x v="0"/>
    <x v="178"/>
    <x v="0"/>
    <x v="0"/>
    <x v="0"/>
    <x v="0"/>
    <x v="0"/>
    <x v="0"/>
    <n v="20"/>
    <n v="15"/>
    <n v="50"/>
  </r>
  <r>
    <n v="3411"/>
    <x v="177"/>
    <x v="2"/>
    <x v="179"/>
    <x v="1"/>
    <x v="2"/>
    <x v="0"/>
    <x v="1"/>
    <x v="1"/>
    <x v="0"/>
    <n v="20"/>
    <n v="5"/>
    <n v="25"/>
  </r>
  <r>
    <n v="3412"/>
    <x v="178"/>
    <x v="1"/>
    <x v="180"/>
    <x v="0"/>
    <x v="1"/>
    <x v="1"/>
    <x v="1"/>
    <x v="1"/>
    <x v="1"/>
    <n v="0"/>
    <n v="0"/>
    <n v="5"/>
  </r>
  <r>
    <n v="3413"/>
    <x v="179"/>
    <x v="0"/>
    <x v="181"/>
    <x v="1"/>
    <x v="0"/>
    <x v="2"/>
    <x v="0"/>
    <x v="0"/>
    <x v="0"/>
    <n v="20"/>
    <n v="20"/>
    <n v="45"/>
  </r>
  <r>
    <n v="3414"/>
    <x v="180"/>
    <x v="2"/>
    <x v="182"/>
    <x v="0"/>
    <x v="2"/>
    <x v="2"/>
    <x v="1"/>
    <x v="1"/>
    <x v="0"/>
    <n v="20"/>
    <n v="12"/>
    <n v="18"/>
  </r>
  <r>
    <n v="3415"/>
    <x v="181"/>
    <x v="1"/>
    <x v="183"/>
    <x v="1"/>
    <x v="1"/>
    <x v="0"/>
    <x v="1"/>
    <x v="1"/>
    <x v="1"/>
    <n v="0"/>
    <n v="2"/>
    <n v="3"/>
  </r>
  <r>
    <n v="3416"/>
    <x v="182"/>
    <x v="0"/>
    <x v="184"/>
    <x v="0"/>
    <x v="0"/>
    <x v="1"/>
    <x v="0"/>
    <x v="0"/>
    <x v="0"/>
    <n v="20"/>
    <n v="5"/>
    <n v="60"/>
  </r>
  <r>
    <n v="3417"/>
    <x v="183"/>
    <x v="2"/>
    <x v="185"/>
    <x v="1"/>
    <x v="2"/>
    <x v="0"/>
    <x v="1"/>
    <x v="1"/>
    <x v="0"/>
    <n v="20"/>
    <n v="10"/>
    <n v="20"/>
  </r>
  <r>
    <n v="3418"/>
    <x v="184"/>
    <x v="1"/>
    <x v="186"/>
    <x v="0"/>
    <x v="1"/>
    <x v="2"/>
    <x v="1"/>
    <x v="1"/>
    <x v="1"/>
    <n v="0"/>
    <n v="0"/>
    <n v="5"/>
  </r>
  <r>
    <n v="3419"/>
    <x v="185"/>
    <x v="0"/>
    <x v="187"/>
    <x v="1"/>
    <x v="0"/>
    <x v="0"/>
    <x v="0"/>
    <x v="0"/>
    <x v="0"/>
    <n v="20"/>
    <n v="3"/>
    <n v="62"/>
  </r>
  <r>
    <n v="3420"/>
    <x v="186"/>
    <x v="2"/>
    <x v="188"/>
    <x v="0"/>
    <x v="2"/>
    <x v="1"/>
    <x v="1"/>
    <x v="1"/>
    <x v="0"/>
    <n v="20"/>
    <n v="15"/>
    <n v="15"/>
  </r>
  <r>
    <n v="3421"/>
    <x v="15"/>
    <x v="1"/>
    <x v="189"/>
    <x v="1"/>
    <x v="1"/>
    <x v="0"/>
    <x v="1"/>
    <x v="1"/>
    <x v="1"/>
    <n v="0"/>
    <n v="1"/>
    <n v="4"/>
  </r>
  <r>
    <n v="3422"/>
    <x v="187"/>
    <x v="0"/>
    <x v="190"/>
    <x v="0"/>
    <x v="0"/>
    <x v="2"/>
    <x v="0"/>
    <x v="0"/>
    <x v="0"/>
    <n v="20"/>
    <n v="7"/>
    <n v="58"/>
  </r>
  <r>
    <n v="3423"/>
    <x v="188"/>
    <x v="2"/>
    <x v="191"/>
    <x v="1"/>
    <x v="2"/>
    <x v="0"/>
    <x v="1"/>
    <x v="1"/>
    <x v="0"/>
    <n v="20"/>
    <n v="10"/>
    <n v="20"/>
  </r>
  <r>
    <n v="3424"/>
    <x v="14"/>
    <x v="1"/>
    <x v="192"/>
    <x v="0"/>
    <x v="1"/>
    <x v="1"/>
    <x v="1"/>
    <x v="1"/>
    <x v="1"/>
    <n v="0"/>
    <n v="0"/>
    <n v="5"/>
  </r>
  <r>
    <n v="3425"/>
    <x v="189"/>
    <x v="0"/>
    <x v="193"/>
    <x v="1"/>
    <x v="0"/>
    <x v="0"/>
    <x v="0"/>
    <x v="0"/>
    <x v="0"/>
    <n v="20"/>
    <n v="20"/>
    <n v="45"/>
  </r>
  <r>
    <n v="3426"/>
    <x v="167"/>
    <x v="2"/>
    <x v="194"/>
    <x v="0"/>
    <x v="2"/>
    <x v="2"/>
    <x v="1"/>
    <x v="1"/>
    <x v="0"/>
    <n v="20"/>
    <n v="15"/>
    <n v="15"/>
  </r>
  <r>
    <n v="3427"/>
    <x v="190"/>
    <x v="1"/>
    <x v="195"/>
    <x v="1"/>
    <x v="1"/>
    <x v="0"/>
    <x v="1"/>
    <x v="1"/>
    <x v="1"/>
    <n v="0"/>
    <n v="1"/>
    <n v="4"/>
  </r>
  <r>
    <n v="3428"/>
    <x v="191"/>
    <x v="0"/>
    <x v="196"/>
    <x v="0"/>
    <x v="0"/>
    <x v="1"/>
    <x v="0"/>
    <x v="0"/>
    <x v="0"/>
    <n v="20"/>
    <n v="3"/>
    <n v="62"/>
  </r>
  <r>
    <n v="3429"/>
    <x v="192"/>
    <x v="2"/>
    <x v="197"/>
    <x v="1"/>
    <x v="2"/>
    <x v="0"/>
    <x v="1"/>
    <x v="1"/>
    <x v="0"/>
    <n v="20"/>
    <n v="10"/>
    <n v="20"/>
  </r>
  <r>
    <n v="3430"/>
    <x v="193"/>
    <x v="1"/>
    <x v="198"/>
    <x v="0"/>
    <x v="1"/>
    <x v="2"/>
    <x v="1"/>
    <x v="1"/>
    <x v="1"/>
    <n v="0"/>
    <n v="0"/>
    <n v="5"/>
  </r>
  <r>
    <n v="3431"/>
    <x v="194"/>
    <x v="0"/>
    <x v="199"/>
    <x v="1"/>
    <x v="0"/>
    <x v="0"/>
    <x v="0"/>
    <x v="0"/>
    <x v="0"/>
    <n v="20"/>
    <n v="15"/>
    <n v="50"/>
  </r>
  <r>
    <n v="3432"/>
    <x v="195"/>
    <x v="2"/>
    <x v="200"/>
    <x v="0"/>
    <x v="2"/>
    <x v="1"/>
    <x v="1"/>
    <x v="1"/>
    <x v="0"/>
    <n v="20"/>
    <n v="15"/>
    <n v="15"/>
  </r>
  <r>
    <n v="3433"/>
    <x v="196"/>
    <x v="1"/>
    <x v="201"/>
    <x v="1"/>
    <x v="1"/>
    <x v="0"/>
    <x v="1"/>
    <x v="1"/>
    <x v="1"/>
    <n v="0"/>
    <n v="1"/>
    <n v="4"/>
  </r>
  <r>
    <n v="3434"/>
    <x v="197"/>
    <x v="0"/>
    <x v="202"/>
    <x v="0"/>
    <x v="0"/>
    <x v="2"/>
    <x v="0"/>
    <x v="0"/>
    <x v="0"/>
    <n v="20"/>
    <n v="7"/>
    <n v="58"/>
  </r>
  <r>
    <n v="3435"/>
    <x v="198"/>
    <x v="2"/>
    <x v="203"/>
    <x v="1"/>
    <x v="2"/>
    <x v="0"/>
    <x v="1"/>
    <x v="1"/>
    <x v="0"/>
    <n v="20"/>
    <n v="10"/>
    <n v="20"/>
  </r>
  <r>
    <n v="3436"/>
    <x v="199"/>
    <x v="1"/>
    <x v="204"/>
    <x v="0"/>
    <x v="1"/>
    <x v="0"/>
    <x v="1"/>
    <x v="1"/>
    <x v="1"/>
    <n v="0"/>
    <n v="0"/>
    <n v="5"/>
  </r>
  <r>
    <n v="3437"/>
    <x v="200"/>
    <x v="0"/>
    <x v="205"/>
    <x v="1"/>
    <x v="0"/>
    <x v="2"/>
    <x v="0"/>
    <x v="0"/>
    <x v="0"/>
    <n v="20"/>
    <n v="7"/>
    <n v="58"/>
  </r>
  <r>
    <n v="3438"/>
    <x v="201"/>
    <x v="2"/>
    <x v="206"/>
    <x v="0"/>
    <x v="2"/>
    <x v="1"/>
    <x v="1"/>
    <x v="1"/>
    <x v="0"/>
    <n v="20"/>
    <n v="10"/>
    <n v="20"/>
  </r>
  <r>
    <n v="3439"/>
    <x v="202"/>
    <x v="1"/>
    <x v="207"/>
    <x v="1"/>
    <x v="1"/>
    <x v="2"/>
    <x v="1"/>
    <x v="1"/>
    <x v="1"/>
    <n v="0"/>
    <n v="1"/>
    <n v="4"/>
  </r>
  <r>
    <n v="3440"/>
    <x v="203"/>
    <x v="0"/>
    <x v="208"/>
    <x v="0"/>
    <x v="0"/>
    <x v="0"/>
    <x v="0"/>
    <x v="0"/>
    <x v="0"/>
    <n v="20"/>
    <n v="15"/>
    <n v="50"/>
  </r>
  <r>
    <n v="3441"/>
    <x v="204"/>
    <x v="2"/>
    <x v="209"/>
    <x v="1"/>
    <x v="2"/>
    <x v="0"/>
    <x v="1"/>
    <x v="1"/>
    <x v="0"/>
    <n v="20"/>
    <n v="5"/>
    <n v="25"/>
  </r>
  <r>
    <n v="3442"/>
    <x v="205"/>
    <x v="1"/>
    <x v="210"/>
    <x v="0"/>
    <x v="1"/>
    <x v="1"/>
    <x v="1"/>
    <x v="1"/>
    <x v="1"/>
    <n v="0"/>
    <n v="0"/>
    <n v="5"/>
  </r>
  <r>
    <n v="3443"/>
    <x v="206"/>
    <x v="0"/>
    <x v="211"/>
    <x v="1"/>
    <x v="0"/>
    <x v="2"/>
    <x v="0"/>
    <x v="0"/>
    <x v="0"/>
    <n v="20"/>
    <n v="20"/>
    <n v="45"/>
  </r>
  <r>
    <n v="3444"/>
    <x v="207"/>
    <x v="2"/>
    <x v="212"/>
    <x v="0"/>
    <x v="2"/>
    <x v="2"/>
    <x v="1"/>
    <x v="1"/>
    <x v="0"/>
    <n v="20"/>
    <n v="12"/>
    <n v="18"/>
  </r>
  <r>
    <n v="3445"/>
    <x v="37"/>
    <x v="1"/>
    <x v="213"/>
    <x v="1"/>
    <x v="1"/>
    <x v="0"/>
    <x v="1"/>
    <x v="1"/>
    <x v="1"/>
    <n v="0"/>
    <n v="2"/>
    <n v="3"/>
  </r>
  <r>
    <n v="3446"/>
    <x v="208"/>
    <x v="0"/>
    <x v="214"/>
    <x v="0"/>
    <x v="0"/>
    <x v="1"/>
    <x v="0"/>
    <x v="0"/>
    <x v="0"/>
    <n v="20"/>
    <n v="5"/>
    <n v="60"/>
  </r>
  <r>
    <n v="3447"/>
    <x v="209"/>
    <x v="2"/>
    <x v="215"/>
    <x v="1"/>
    <x v="2"/>
    <x v="0"/>
    <x v="1"/>
    <x v="1"/>
    <x v="0"/>
    <n v="20"/>
    <n v="10"/>
    <n v="20"/>
  </r>
  <r>
    <n v="3448"/>
    <x v="210"/>
    <x v="1"/>
    <x v="216"/>
    <x v="0"/>
    <x v="1"/>
    <x v="2"/>
    <x v="1"/>
    <x v="1"/>
    <x v="1"/>
    <n v="0"/>
    <n v="0"/>
    <n v="5"/>
  </r>
  <r>
    <n v="3449"/>
    <x v="211"/>
    <x v="0"/>
    <x v="217"/>
    <x v="1"/>
    <x v="0"/>
    <x v="0"/>
    <x v="0"/>
    <x v="0"/>
    <x v="0"/>
    <n v="20"/>
    <n v="3"/>
    <n v="62"/>
  </r>
  <r>
    <n v="3450"/>
    <x v="212"/>
    <x v="2"/>
    <x v="218"/>
    <x v="0"/>
    <x v="2"/>
    <x v="1"/>
    <x v="1"/>
    <x v="1"/>
    <x v="0"/>
    <n v="20"/>
    <n v="15"/>
    <n v="15"/>
  </r>
  <r>
    <n v="3451"/>
    <x v="213"/>
    <x v="1"/>
    <x v="219"/>
    <x v="1"/>
    <x v="1"/>
    <x v="0"/>
    <x v="1"/>
    <x v="1"/>
    <x v="1"/>
    <n v="0"/>
    <n v="1"/>
    <n v="4"/>
  </r>
  <r>
    <n v="3452"/>
    <x v="191"/>
    <x v="0"/>
    <x v="220"/>
    <x v="0"/>
    <x v="0"/>
    <x v="2"/>
    <x v="0"/>
    <x v="0"/>
    <x v="0"/>
    <n v="20"/>
    <n v="7"/>
    <n v="58"/>
  </r>
  <r>
    <n v="3453"/>
    <x v="45"/>
    <x v="2"/>
    <x v="221"/>
    <x v="1"/>
    <x v="2"/>
    <x v="0"/>
    <x v="1"/>
    <x v="1"/>
    <x v="0"/>
    <n v="20"/>
    <n v="10"/>
    <n v="20"/>
  </r>
  <r>
    <n v="3454"/>
    <x v="214"/>
    <x v="1"/>
    <x v="222"/>
    <x v="0"/>
    <x v="1"/>
    <x v="1"/>
    <x v="1"/>
    <x v="1"/>
    <x v="1"/>
    <n v="0"/>
    <n v="0"/>
    <n v="5"/>
  </r>
  <r>
    <n v="3455"/>
    <x v="215"/>
    <x v="0"/>
    <x v="223"/>
    <x v="1"/>
    <x v="0"/>
    <x v="0"/>
    <x v="0"/>
    <x v="0"/>
    <x v="0"/>
    <n v="20"/>
    <n v="20"/>
    <n v="45"/>
  </r>
  <r>
    <n v="3456"/>
    <x v="216"/>
    <x v="2"/>
    <x v="224"/>
    <x v="0"/>
    <x v="2"/>
    <x v="2"/>
    <x v="1"/>
    <x v="1"/>
    <x v="0"/>
    <n v="20"/>
    <n v="15"/>
    <n v="15"/>
  </r>
  <r>
    <n v="3457"/>
    <x v="217"/>
    <x v="1"/>
    <x v="225"/>
    <x v="1"/>
    <x v="1"/>
    <x v="0"/>
    <x v="1"/>
    <x v="1"/>
    <x v="1"/>
    <n v="0"/>
    <n v="1"/>
    <n v="4"/>
  </r>
  <r>
    <n v="3458"/>
    <x v="218"/>
    <x v="0"/>
    <x v="226"/>
    <x v="0"/>
    <x v="0"/>
    <x v="1"/>
    <x v="0"/>
    <x v="0"/>
    <x v="0"/>
    <n v="20"/>
    <n v="3"/>
    <n v="62"/>
  </r>
  <r>
    <n v="3459"/>
    <x v="219"/>
    <x v="2"/>
    <x v="227"/>
    <x v="1"/>
    <x v="2"/>
    <x v="0"/>
    <x v="1"/>
    <x v="1"/>
    <x v="0"/>
    <n v="20"/>
    <n v="10"/>
    <n v="20"/>
  </r>
  <r>
    <n v="3460"/>
    <x v="127"/>
    <x v="1"/>
    <x v="228"/>
    <x v="0"/>
    <x v="1"/>
    <x v="2"/>
    <x v="1"/>
    <x v="1"/>
    <x v="1"/>
    <n v="0"/>
    <n v="0"/>
    <n v="5"/>
  </r>
  <r>
    <n v="3461"/>
    <x v="220"/>
    <x v="0"/>
    <x v="229"/>
    <x v="1"/>
    <x v="0"/>
    <x v="0"/>
    <x v="0"/>
    <x v="0"/>
    <x v="0"/>
    <n v="20"/>
    <n v="15"/>
    <n v="50"/>
  </r>
  <r>
    <n v="3462"/>
    <x v="221"/>
    <x v="2"/>
    <x v="230"/>
    <x v="0"/>
    <x v="2"/>
    <x v="1"/>
    <x v="1"/>
    <x v="1"/>
    <x v="0"/>
    <n v="20"/>
    <n v="15"/>
    <n v="15"/>
  </r>
  <r>
    <n v="3463"/>
    <x v="222"/>
    <x v="1"/>
    <x v="231"/>
    <x v="1"/>
    <x v="1"/>
    <x v="0"/>
    <x v="1"/>
    <x v="1"/>
    <x v="1"/>
    <n v="0"/>
    <n v="1"/>
    <n v="4"/>
  </r>
  <r>
    <n v="3464"/>
    <x v="223"/>
    <x v="0"/>
    <x v="232"/>
    <x v="0"/>
    <x v="0"/>
    <x v="2"/>
    <x v="0"/>
    <x v="0"/>
    <x v="0"/>
    <n v="20"/>
    <n v="7"/>
    <n v="58"/>
  </r>
  <r>
    <n v="3465"/>
    <x v="224"/>
    <x v="2"/>
    <x v="233"/>
    <x v="1"/>
    <x v="2"/>
    <x v="0"/>
    <x v="1"/>
    <x v="1"/>
    <x v="0"/>
    <n v="20"/>
    <n v="10"/>
    <n v="20"/>
  </r>
  <r>
    <n v="3466"/>
    <x v="225"/>
    <x v="1"/>
    <x v="234"/>
    <x v="0"/>
    <x v="1"/>
    <x v="1"/>
    <x v="1"/>
    <x v="1"/>
    <x v="1"/>
    <n v="0"/>
    <n v="0"/>
    <n v="5"/>
  </r>
  <r>
    <n v="3467"/>
    <x v="226"/>
    <x v="0"/>
    <x v="235"/>
    <x v="1"/>
    <x v="0"/>
    <x v="0"/>
    <x v="0"/>
    <x v="0"/>
    <x v="0"/>
    <n v="20"/>
    <n v="15"/>
    <n v="50"/>
  </r>
  <r>
    <n v="3468"/>
    <x v="227"/>
    <x v="2"/>
    <x v="236"/>
    <x v="0"/>
    <x v="2"/>
    <x v="2"/>
    <x v="1"/>
    <x v="1"/>
    <x v="0"/>
    <n v="20"/>
    <n v="12"/>
    <n v="18"/>
  </r>
  <r>
    <n v="3469"/>
    <x v="228"/>
    <x v="1"/>
    <x v="237"/>
    <x v="1"/>
    <x v="1"/>
    <x v="0"/>
    <x v="1"/>
    <x v="1"/>
    <x v="1"/>
    <n v="0"/>
    <n v="2"/>
    <n v="3"/>
  </r>
  <r>
    <n v="3470"/>
    <x v="229"/>
    <x v="0"/>
    <x v="238"/>
    <x v="0"/>
    <x v="0"/>
    <x v="1"/>
    <x v="0"/>
    <x v="0"/>
    <x v="0"/>
    <n v="20"/>
    <n v="5"/>
    <n v="60"/>
  </r>
  <r>
    <n v="3471"/>
    <x v="230"/>
    <x v="2"/>
    <x v="239"/>
    <x v="1"/>
    <x v="2"/>
    <x v="0"/>
    <x v="1"/>
    <x v="1"/>
    <x v="0"/>
    <n v="20"/>
    <n v="10"/>
    <n v="20"/>
  </r>
  <r>
    <n v="3472"/>
    <x v="231"/>
    <x v="1"/>
    <x v="240"/>
    <x v="0"/>
    <x v="1"/>
    <x v="2"/>
    <x v="1"/>
    <x v="1"/>
    <x v="1"/>
    <n v="0"/>
    <n v="0"/>
    <n v="5"/>
  </r>
  <r>
    <n v="3473"/>
    <x v="140"/>
    <x v="0"/>
    <x v="241"/>
    <x v="1"/>
    <x v="0"/>
    <x v="0"/>
    <x v="0"/>
    <x v="0"/>
    <x v="0"/>
    <n v="20"/>
    <n v="3"/>
    <n v="62"/>
  </r>
  <r>
    <n v="3474"/>
    <x v="232"/>
    <x v="2"/>
    <x v="242"/>
    <x v="0"/>
    <x v="2"/>
    <x v="1"/>
    <x v="1"/>
    <x v="1"/>
    <x v="0"/>
    <n v="20"/>
    <n v="15"/>
    <n v="15"/>
  </r>
  <r>
    <n v="3475"/>
    <x v="233"/>
    <x v="1"/>
    <x v="243"/>
    <x v="1"/>
    <x v="1"/>
    <x v="0"/>
    <x v="1"/>
    <x v="1"/>
    <x v="1"/>
    <n v="0"/>
    <n v="1"/>
    <n v="4"/>
  </r>
  <r>
    <n v="3476"/>
    <x v="234"/>
    <x v="0"/>
    <x v="244"/>
    <x v="0"/>
    <x v="0"/>
    <x v="2"/>
    <x v="0"/>
    <x v="0"/>
    <x v="0"/>
    <n v="20"/>
    <n v="7"/>
    <n v="58"/>
  </r>
  <r>
    <n v="3477"/>
    <x v="235"/>
    <x v="2"/>
    <x v="245"/>
    <x v="1"/>
    <x v="2"/>
    <x v="0"/>
    <x v="1"/>
    <x v="1"/>
    <x v="0"/>
    <n v="20"/>
    <n v="10"/>
    <n v="20"/>
  </r>
  <r>
    <n v="3478"/>
    <x v="236"/>
    <x v="1"/>
    <x v="246"/>
    <x v="0"/>
    <x v="1"/>
    <x v="1"/>
    <x v="1"/>
    <x v="1"/>
    <x v="1"/>
    <n v="0"/>
    <n v="0"/>
    <n v="5"/>
  </r>
  <r>
    <n v="3479"/>
    <x v="237"/>
    <x v="0"/>
    <x v="247"/>
    <x v="1"/>
    <x v="0"/>
    <x v="0"/>
    <x v="0"/>
    <x v="0"/>
    <x v="0"/>
    <n v="20"/>
    <n v="20"/>
    <n v="45"/>
  </r>
  <r>
    <n v="3480"/>
    <x v="238"/>
    <x v="2"/>
    <x v="248"/>
    <x v="0"/>
    <x v="2"/>
    <x v="2"/>
    <x v="1"/>
    <x v="1"/>
    <x v="0"/>
    <n v="20"/>
    <n v="15"/>
    <n v="15"/>
  </r>
  <r>
    <n v="3481"/>
    <x v="239"/>
    <x v="1"/>
    <x v="249"/>
    <x v="1"/>
    <x v="1"/>
    <x v="0"/>
    <x v="1"/>
    <x v="1"/>
    <x v="1"/>
    <n v="0"/>
    <n v="1"/>
    <n v="4"/>
  </r>
  <r>
    <n v="3482"/>
    <x v="240"/>
    <x v="0"/>
    <x v="250"/>
    <x v="0"/>
    <x v="0"/>
    <x v="1"/>
    <x v="0"/>
    <x v="0"/>
    <x v="0"/>
    <n v="20"/>
    <n v="3"/>
    <n v="62"/>
  </r>
  <r>
    <n v="3483"/>
    <x v="241"/>
    <x v="2"/>
    <x v="251"/>
    <x v="1"/>
    <x v="2"/>
    <x v="0"/>
    <x v="1"/>
    <x v="1"/>
    <x v="0"/>
    <n v="20"/>
    <n v="10"/>
    <n v="20"/>
  </r>
  <r>
    <n v="3484"/>
    <x v="242"/>
    <x v="1"/>
    <x v="252"/>
    <x v="0"/>
    <x v="1"/>
    <x v="2"/>
    <x v="1"/>
    <x v="1"/>
    <x v="1"/>
    <n v="0"/>
    <n v="0"/>
    <n v="5"/>
  </r>
  <r>
    <n v="3485"/>
    <x v="243"/>
    <x v="0"/>
    <x v="253"/>
    <x v="1"/>
    <x v="0"/>
    <x v="0"/>
    <x v="0"/>
    <x v="0"/>
    <x v="0"/>
    <n v="20"/>
    <n v="15"/>
    <n v="50"/>
  </r>
  <r>
    <n v="3486"/>
    <x v="244"/>
    <x v="1"/>
    <x v="254"/>
    <x v="0"/>
    <x v="1"/>
    <x v="0"/>
    <x v="1"/>
    <x v="1"/>
    <x v="1"/>
    <n v="0"/>
    <n v="0"/>
    <n v="5"/>
  </r>
  <r>
    <n v="3487"/>
    <x v="245"/>
    <x v="0"/>
    <x v="255"/>
    <x v="1"/>
    <x v="0"/>
    <x v="2"/>
    <x v="0"/>
    <x v="0"/>
    <x v="0"/>
    <n v="20"/>
    <n v="7"/>
    <n v="58"/>
  </r>
  <r>
    <n v="3488"/>
    <x v="246"/>
    <x v="2"/>
    <x v="256"/>
    <x v="0"/>
    <x v="2"/>
    <x v="1"/>
    <x v="1"/>
    <x v="1"/>
    <x v="0"/>
    <n v="20"/>
    <n v="10"/>
    <n v="20"/>
  </r>
  <r>
    <n v="3489"/>
    <x v="247"/>
    <x v="1"/>
    <x v="257"/>
    <x v="1"/>
    <x v="1"/>
    <x v="2"/>
    <x v="1"/>
    <x v="1"/>
    <x v="1"/>
    <n v="0"/>
    <n v="1"/>
    <n v="4"/>
  </r>
  <r>
    <n v="3490"/>
    <x v="248"/>
    <x v="0"/>
    <x v="258"/>
    <x v="0"/>
    <x v="0"/>
    <x v="0"/>
    <x v="0"/>
    <x v="0"/>
    <x v="0"/>
    <n v="20"/>
    <n v="15"/>
    <n v="50"/>
  </r>
  <r>
    <n v="3491"/>
    <x v="249"/>
    <x v="2"/>
    <x v="259"/>
    <x v="1"/>
    <x v="2"/>
    <x v="0"/>
    <x v="1"/>
    <x v="1"/>
    <x v="0"/>
    <n v="20"/>
    <n v="5"/>
    <n v="25"/>
  </r>
  <r>
    <n v="3492"/>
    <x v="250"/>
    <x v="1"/>
    <x v="260"/>
    <x v="0"/>
    <x v="1"/>
    <x v="1"/>
    <x v="1"/>
    <x v="1"/>
    <x v="1"/>
    <n v="0"/>
    <n v="0"/>
    <n v="5"/>
  </r>
  <r>
    <n v="3493"/>
    <x v="251"/>
    <x v="0"/>
    <x v="261"/>
    <x v="1"/>
    <x v="0"/>
    <x v="2"/>
    <x v="0"/>
    <x v="0"/>
    <x v="0"/>
    <n v="20"/>
    <n v="20"/>
    <n v="45"/>
  </r>
  <r>
    <n v="3494"/>
    <x v="252"/>
    <x v="2"/>
    <x v="262"/>
    <x v="0"/>
    <x v="2"/>
    <x v="2"/>
    <x v="1"/>
    <x v="1"/>
    <x v="0"/>
    <n v="20"/>
    <n v="12"/>
    <n v="18"/>
  </r>
  <r>
    <n v="3495"/>
    <x v="253"/>
    <x v="1"/>
    <x v="263"/>
    <x v="1"/>
    <x v="1"/>
    <x v="0"/>
    <x v="1"/>
    <x v="1"/>
    <x v="1"/>
    <n v="0"/>
    <n v="2"/>
    <n v="3"/>
  </r>
  <r>
    <n v="3496"/>
    <x v="254"/>
    <x v="0"/>
    <x v="264"/>
    <x v="0"/>
    <x v="0"/>
    <x v="1"/>
    <x v="0"/>
    <x v="0"/>
    <x v="0"/>
    <n v="20"/>
    <n v="5"/>
    <n v="60"/>
  </r>
  <r>
    <n v="3497"/>
    <x v="255"/>
    <x v="2"/>
    <x v="265"/>
    <x v="1"/>
    <x v="2"/>
    <x v="0"/>
    <x v="1"/>
    <x v="1"/>
    <x v="0"/>
    <n v="20"/>
    <n v="10"/>
    <n v="20"/>
  </r>
  <r>
    <n v="3498"/>
    <x v="256"/>
    <x v="1"/>
    <x v="266"/>
    <x v="0"/>
    <x v="1"/>
    <x v="2"/>
    <x v="1"/>
    <x v="1"/>
    <x v="1"/>
    <n v="0"/>
    <n v="0"/>
    <n v="5"/>
  </r>
  <r>
    <n v="3499"/>
    <x v="257"/>
    <x v="0"/>
    <x v="267"/>
    <x v="1"/>
    <x v="0"/>
    <x v="0"/>
    <x v="0"/>
    <x v="0"/>
    <x v="0"/>
    <n v="20"/>
    <n v="3"/>
    <n v="62"/>
  </r>
  <r>
    <n v="3500"/>
    <x v="258"/>
    <x v="2"/>
    <x v="268"/>
    <x v="0"/>
    <x v="2"/>
    <x v="1"/>
    <x v="1"/>
    <x v="1"/>
    <x v="0"/>
    <n v="20"/>
    <n v="15"/>
    <n v="15"/>
  </r>
  <r>
    <n v="3501"/>
    <x v="259"/>
    <x v="1"/>
    <x v="269"/>
    <x v="1"/>
    <x v="1"/>
    <x v="0"/>
    <x v="1"/>
    <x v="1"/>
    <x v="1"/>
    <n v="0"/>
    <n v="1"/>
    <n v="4"/>
  </r>
  <r>
    <n v="3502"/>
    <x v="260"/>
    <x v="0"/>
    <x v="270"/>
    <x v="0"/>
    <x v="0"/>
    <x v="2"/>
    <x v="0"/>
    <x v="0"/>
    <x v="0"/>
    <n v="20"/>
    <n v="7"/>
    <n v="58"/>
  </r>
  <r>
    <n v="3503"/>
    <x v="119"/>
    <x v="2"/>
    <x v="271"/>
    <x v="1"/>
    <x v="2"/>
    <x v="0"/>
    <x v="1"/>
    <x v="1"/>
    <x v="0"/>
    <n v="20"/>
    <n v="10"/>
    <n v="20"/>
  </r>
  <r>
    <n v="3504"/>
    <x v="261"/>
    <x v="1"/>
    <x v="272"/>
    <x v="0"/>
    <x v="1"/>
    <x v="1"/>
    <x v="1"/>
    <x v="1"/>
    <x v="1"/>
    <n v="0"/>
    <n v="0"/>
    <n v="5"/>
  </r>
  <r>
    <n v="3505"/>
    <x v="262"/>
    <x v="0"/>
    <x v="273"/>
    <x v="1"/>
    <x v="0"/>
    <x v="0"/>
    <x v="0"/>
    <x v="0"/>
    <x v="0"/>
    <n v="20"/>
    <n v="20"/>
    <n v="45"/>
  </r>
  <r>
    <n v="3506"/>
    <x v="263"/>
    <x v="2"/>
    <x v="274"/>
    <x v="0"/>
    <x v="2"/>
    <x v="2"/>
    <x v="1"/>
    <x v="1"/>
    <x v="0"/>
    <n v="20"/>
    <n v="15"/>
    <n v="15"/>
  </r>
  <r>
    <n v="3507"/>
    <x v="264"/>
    <x v="1"/>
    <x v="275"/>
    <x v="1"/>
    <x v="1"/>
    <x v="0"/>
    <x v="1"/>
    <x v="1"/>
    <x v="1"/>
    <n v="0"/>
    <n v="1"/>
    <n v="4"/>
  </r>
  <r>
    <n v="3508"/>
    <x v="265"/>
    <x v="0"/>
    <x v="276"/>
    <x v="0"/>
    <x v="0"/>
    <x v="1"/>
    <x v="0"/>
    <x v="0"/>
    <x v="0"/>
    <n v="20"/>
    <n v="3"/>
    <n v="62"/>
  </r>
  <r>
    <n v="3509"/>
    <x v="266"/>
    <x v="2"/>
    <x v="277"/>
    <x v="1"/>
    <x v="2"/>
    <x v="0"/>
    <x v="1"/>
    <x v="1"/>
    <x v="0"/>
    <n v="20"/>
    <n v="10"/>
    <n v="20"/>
  </r>
  <r>
    <n v="3510"/>
    <x v="267"/>
    <x v="1"/>
    <x v="278"/>
    <x v="0"/>
    <x v="1"/>
    <x v="2"/>
    <x v="1"/>
    <x v="1"/>
    <x v="1"/>
    <n v="0"/>
    <n v="0"/>
    <n v="5"/>
  </r>
  <r>
    <n v="3511"/>
    <x v="268"/>
    <x v="0"/>
    <x v="279"/>
    <x v="1"/>
    <x v="0"/>
    <x v="0"/>
    <x v="0"/>
    <x v="0"/>
    <x v="0"/>
    <n v="20"/>
    <n v="15"/>
    <n v="50"/>
  </r>
  <r>
    <n v="3512"/>
    <x v="269"/>
    <x v="2"/>
    <x v="280"/>
    <x v="0"/>
    <x v="2"/>
    <x v="1"/>
    <x v="1"/>
    <x v="1"/>
    <x v="0"/>
    <n v="20"/>
    <n v="15"/>
    <n v="15"/>
  </r>
  <r>
    <n v="3513"/>
    <x v="270"/>
    <x v="1"/>
    <x v="281"/>
    <x v="1"/>
    <x v="1"/>
    <x v="0"/>
    <x v="1"/>
    <x v="1"/>
    <x v="1"/>
    <n v="0"/>
    <n v="1"/>
    <n v="4"/>
  </r>
  <r>
    <n v="3514"/>
    <x v="271"/>
    <x v="0"/>
    <x v="282"/>
    <x v="0"/>
    <x v="0"/>
    <x v="2"/>
    <x v="0"/>
    <x v="0"/>
    <x v="0"/>
    <n v="20"/>
    <n v="7"/>
    <n v="58"/>
  </r>
  <r>
    <n v="3515"/>
    <x v="130"/>
    <x v="2"/>
    <x v="283"/>
    <x v="1"/>
    <x v="2"/>
    <x v="0"/>
    <x v="1"/>
    <x v="1"/>
    <x v="0"/>
    <n v="20"/>
    <n v="10"/>
    <n v="20"/>
  </r>
  <r>
    <n v="3516"/>
    <x v="131"/>
    <x v="1"/>
    <x v="284"/>
    <x v="0"/>
    <x v="1"/>
    <x v="1"/>
    <x v="1"/>
    <x v="1"/>
    <x v="1"/>
    <n v="0"/>
    <n v="0"/>
    <n v="5"/>
  </r>
  <r>
    <n v="3517"/>
    <x v="181"/>
    <x v="0"/>
    <x v="285"/>
    <x v="1"/>
    <x v="0"/>
    <x v="0"/>
    <x v="0"/>
    <x v="0"/>
    <x v="0"/>
    <n v="20"/>
    <n v="20"/>
    <n v="45"/>
  </r>
  <r>
    <n v="3518"/>
    <x v="272"/>
    <x v="2"/>
    <x v="286"/>
    <x v="0"/>
    <x v="2"/>
    <x v="2"/>
    <x v="1"/>
    <x v="1"/>
    <x v="0"/>
    <n v="20"/>
    <n v="12"/>
    <n v="18"/>
  </r>
  <r>
    <n v="3519"/>
    <x v="273"/>
    <x v="1"/>
    <x v="287"/>
    <x v="1"/>
    <x v="1"/>
    <x v="0"/>
    <x v="1"/>
    <x v="1"/>
    <x v="1"/>
    <n v="0"/>
    <n v="2"/>
    <n v="3"/>
  </r>
  <r>
    <n v="3520"/>
    <x v="274"/>
    <x v="0"/>
    <x v="288"/>
    <x v="0"/>
    <x v="0"/>
    <x v="1"/>
    <x v="0"/>
    <x v="0"/>
    <x v="0"/>
    <n v="20"/>
    <n v="5"/>
    <n v="60"/>
  </r>
  <r>
    <n v="3521"/>
    <x v="275"/>
    <x v="2"/>
    <x v="289"/>
    <x v="1"/>
    <x v="2"/>
    <x v="0"/>
    <x v="1"/>
    <x v="1"/>
    <x v="0"/>
    <n v="20"/>
    <n v="10"/>
    <n v="20"/>
  </r>
  <r>
    <n v="3522"/>
    <x v="276"/>
    <x v="1"/>
    <x v="290"/>
    <x v="0"/>
    <x v="1"/>
    <x v="2"/>
    <x v="1"/>
    <x v="1"/>
    <x v="1"/>
    <n v="0"/>
    <n v="0"/>
    <n v="5"/>
  </r>
  <r>
    <n v="3523"/>
    <x v="277"/>
    <x v="0"/>
    <x v="291"/>
    <x v="1"/>
    <x v="0"/>
    <x v="0"/>
    <x v="0"/>
    <x v="0"/>
    <x v="0"/>
    <n v="20"/>
    <n v="3"/>
    <n v="62"/>
  </r>
  <r>
    <n v="3524"/>
    <x v="278"/>
    <x v="2"/>
    <x v="292"/>
    <x v="0"/>
    <x v="2"/>
    <x v="1"/>
    <x v="1"/>
    <x v="1"/>
    <x v="0"/>
    <n v="20"/>
    <n v="15"/>
    <n v="15"/>
  </r>
  <r>
    <n v="3525"/>
    <x v="279"/>
    <x v="1"/>
    <x v="293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3483-8537-4546-AD1B-91B07ACF0E7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Mês">
  <location ref="B51:C64" firstHeaderRow="1" firstDataRow="1" firstDataCol="1"/>
  <pivotFields count="15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Volume" fld="1" subtotal="count" baseField="14" baseItem="1"/>
  </dataFields>
  <chartFormats count="1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C0BAB-6DF7-4F5D-BEC1-888E7C0A8D5B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Plano">
  <location ref="B33:C37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eita por plano" fld="12" baseField="2" baseItem="0" numFmtId="44"/>
  </dataFields>
  <chartFormats count="4"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564E-7268-4AF6-97BB-269B13C12AA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Tipo de plano">
  <location ref="B22:C26" firstHeaderRow="1" firstDataRow="1" firstDataCol="1"/>
  <pivotFields count="15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olume" fld="2" subtotal="count" baseField="0" baseItem="0"/>
  </dataFields>
  <chartFormats count="4"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3BCDF-B071-4944-BCF5-5730882DE213}" name="Recei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:C16" firstHeaderRow="0" firstDataRow="1" firstDataCol="0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Receita total" fld="12" baseField="0" baseItem="0" numFmtId="44"/>
    <dataField name="Quantidade de assinante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13583-C47A-4D92-9D9A-1E51F5BD2AAA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ês">
  <location ref="B76:C79" firstHeaderRow="1" firstDataRow="1" firstDataCol="1"/>
  <pivotFields count="15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B333F-1FAE-45A9-9AE8-B46D685206E1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ês">
  <location ref="B70:C73" firstHeaderRow="1" firstDataRow="1" firstDataCol="1"/>
  <pivotFields count="15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91BAF71C-BD65-4A85-805E-484ED3691859}" sourceName="Plan">
  <pivotTables>
    <pivotTable tabId="3" name="Receita"/>
    <pivotTable tabId="3" name="Tabela dinâmica5"/>
  </pivotTables>
  <data>
    <tabular pivotCacheId="1683677254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528E570-1ED0-44FB-A71F-E4C323E019E9}" sourceName="Subscription Type">
  <pivotTables>
    <pivotTable tabId="3" name="Receita"/>
    <pivotTable tabId="3" name="Tabela dinâmica3"/>
    <pivotTable tabId="3" name="Tabela dinâmica4"/>
    <pivotTable tabId="3" name="Tabela dinâmica6"/>
    <pivotTable tabId="3" name="Tabela dinâmica7"/>
  </pivotTables>
  <data>
    <tabular pivotCacheId="168367725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2" xr10:uid="{F4FE401E-0B40-4C09-B4CB-D69A057F6DFE}" cache="SegmentaçãodeDados_Plan" caption="Plan" style="Personalizada" rowHeight="247650"/>
  <slicer name="Subscription Type 2" xr10:uid="{208D6378-6D81-4531-9017-DA7FE24E2234}" cache="SegmentaçãodeDados_Subscription_Type" caption="Subscription" style="Personalizad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subscriptions_sales" displayName="subscriptions_sales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9" sqref="C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9" sqref="C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79"/>
  <sheetViews>
    <sheetView showGridLines="0" topLeftCell="A29" workbookViewId="0">
      <selection activeCell="C9" sqref="C9"/>
    </sheetView>
  </sheetViews>
  <sheetFormatPr defaultRowHeight="14.4" x14ac:dyDescent="0.3"/>
  <cols>
    <col min="2" max="2" width="10" bestFit="1" customWidth="1"/>
    <col min="3" max="3" width="7.33203125" bestFit="1" customWidth="1"/>
    <col min="4" max="4" width="3.88671875" bestFit="1" customWidth="1"/>
    <col min="5" max="5" width="10" bestFit="1" customWidth="1"/>
    <col min="6" max="6" width="17.6640625" customWidth="1"/>
    <col min="7" max="7" width="26.21875" customWidth="1"/>
    <col min="8" max="36" width="7" bestFit="1" customWidth="1"/>
    <col min="37" max="66" width="6.44140625" bestFit="1" customWidth="1"/>
    <col min="67" max="97" width="6.88671875" bestFit="1" customWidth="1"/>
    <col min="98" max="127" width="6.21875" bestFit="1" customWidth="1"/>
    <col min="128" max="158" width="5.77734375" bestFit="1" customWidth="1"/>
    <col min="159" max="189" width="6.5546875" bestFit="1" customWidth="1"/>
    <col min="190" max="219" width="6.21875" bestFit="1" customWidth="1"/>
    <col min="220" max="250" width="6.33203125" bestFit="1" customWidth="1"/>
    <col min="251" max="280" width="6.5546875" bestFit="1" customWidth="1"/>
    <col min="281" max="296" width="6.6640625" bestFit="1" customWidth="1"/>
    <col min="297" max="297" width="10" bestFit="1" customWidth="1"/>
  </cols>
  <sheetData>
    <row r="2" spans="2:7" x14ac:dyDescent="0.3">
      <c r="B2" t="s">
        <v>314</v>
      </c>
    </row>
    <row r="3" spans="2:7" x14ac:dyDescent="0.3">
      <c r="B3" t="s">
        <v>315</v>
      </c>
    </row>
    <row r="4" spans="2:7" x14ac:dyDescent="0.3">
      <c r="B4" t="s">
        <v>316</v>
      </c>
    </row>
    <row r="5" spans="2:7" x14ac:dyDescent="0.3">
      <c r="B5" t="s">
        <v>338</v>
      </c>
    </row>
    <row r="6" spans="2:7" x14ac:dyDescent="0.3">
      <c r="B6" t="s">
        <v>340</v>
      </c>
    </row>
    <row r="7" spans="2:7" x14ac:dyDescent="0.3">
      <c r="B7" t="s">
        <v>341</v>
      </c>
    </row>
    <row r="8" spans="2:7" x14ac:dyDescent="0.3">
      <c r="B8" t="s">
        <v>342</v>
      </c>
    </row>
    <row r="9" spans="2:7" ht="20.399999999999999" customHeight="1" x14ac:dyDescent="0.65">
      <c r="B9" t="s">
        <v>343</v>
      </c>
      <c r="G9" s="18"/>
    </row>
    <row r="11" spans="2:7" x14ac:dyDescent="0.3">
      <c r="G11" s="14"/>
    </row>
    <row r="15" spans="2:7" x14ac:dyDescent="0.3">
      <c r="B15" t="s">
        <v>313</v>
      </c>
      <c r="C15" t="s">
        <v>318</v>
      </c>
    </row>
    <row r="16" spans="2:7" x14ac:dyDescent="0.3">
      <c r="B16" s="12">
        <v>7633</v>
      </c>
      <c r="C16" s="22">
        <v>295</v>
      </c>
    </row>
    <row r="18" spans="2:4" x14ac:dyDescent="0.3">
      <c r="B18" t="s">
        <v>319</v>
      </c>
      <c r="D18" s="14"/>
    </row>
    <row r="19" spans="2:4" x14ac:dyDescent="0.3">
      <c r="B19" s="14">
        <f>GETPIVOTDATA("Receita total",$B$15)/GETPIVOTDATA("Quantidade de assinantes",$B$15)</f>
        <v>25.874576271186442</v>
      </c>
      <c r="C19" s="14">
        <f>GETPIVOTDATA("Receita total",$B$15)</f>
        <v>7633</v>
      </c>
    </row>
    <row r="21" spans="2:4" x14ac:dyDescent="0.3">
      <c r="B21" t="s">
        <v>339</v>
      </c>
    </row>
    <row r="22" spans="2:4" x14ac:dyDescent="0.3">
      <c r="B22" s="13" t="s">
        <v>321</v>
      </c>
      <c r="C22" t="s">
        <v>322</v>
      </c>
    </row>
    <row r="23" spans="2:4" x14ac:dyDescent="0.3">
      <c r="B23" s="15" t="s">
        <v>22</v>
      </c>
      <c r="C23" s="22">
        <v>101</v>
      </c>
    </row>
    <row r="24" spans="2:4" x14ac:dyDescent="0.3">
      <c r="B24" s="15" t="s">
        <v>26</v>
      </c>
      <c r="C24" s="22">
        <v>96</v>
      </c>
    </row>
    <row r="25" spans="2:4" x14ac:dyDescent="0.3">
      <c r="B25" s="15" t="s">
        <v>18</v>
      </c>
      <c r="C25" s="22">
        <v>98</v>
      </c>
    </row>
    <row r="26" spans="2:4" x14ac:dyDescent="0.3">
      <c r="B26" s="15" t="s">
        <v>320</v>
      </c>
      <c r="C26" s="22">
        <v>295</v>
      </c>
    </row>
    <row r="32" spans="2:4" x14ac:dyDescent="0.3">
      <c r="B32" t="s">
        <v>324</v>
      </c>
    </row>
    <row r="33" spans="2:3" x14ac:dyDescent="0.3">
      <c r="B33" s="13" t="s">
        <v>323</v>
      </c>
      <c r="C33" t="s">
        <v>324</v>
      </c>
    </row>
    <row r="34" spans="2:3" x14ac:dyDescent="0.3">
      <c r="B34" s="15" t="s">
        <v>22</v>
      </c>
      <c r="C34" s="12">
        <v>444</v>
      </c>
    </row>
    <row r="35" spans="2:3" x14ac:dyDescent="0.3">
      <c r="B35" s="15" t="s">
        <v>26</v>
      </c>
      <c r="C35" s="12">
        <v>1801</v>
      </c>
    </row>
    <row r="36" spans="2:3" x14ac:dyDescent="0.3">
      <c r="B36" s="15" t="s">
        <v>18</v>
      </c>
      <c r="C36" s="12">
        <v>5388</v>
      </c>
    </row>
    <row r="37" spans="2:3" x14ac:dyDescent="0.3">
      <c r="B37" s="15" t="s">
        <v>320</v>
      </c>
      <c r="C37" s="12">
        <v>7633</v>
      </c>
    </row>
    <row r="50" spans="2:3" x14ac:dyDescent="0.3">
      <c r="B50" t="s">
        <v>344</v>
      </c>
    </row>
    <row r="51" spans="2:3" x14ac:dyDescent="0.3">
      <c r="B51" s="13" t="s">
        <v>337</v>
      </c>
      <c r="C51" t="s">
        <v>322</v>
      </c>
    </row>
    <row r="52" spans="2:3" x14ac:dyDescent="0.3">
      <c r="B52" s="15" t="s">
        <v>325</v>
      </c>
      <c r="C52" s="22">
        <v>2</v>
      </c>
    </row>
    <row r="53" spans="2:3" x14ac:dyDescent="0.3">
      <c r="B53" s="15" t="s">
        <v>326</v>
      </c>
      <c r="C53" s="22">
        <v>2</v>
      </c>
    </row>
    <row r="54" spans="2:3" x14ac:dyDescent="0.3">
      <c r="B54" s="15" t="s">
        <v>327</v>
      </c>
      <c r="C54" s="22">
        <v>31</v>
      </c>
    </row>
    <row r="55" spans="2:3" x14ac:dyDescent="0.3">
      <c r="B55" s="15" t="s">
        <v>328</v>
      </c>
      <c r="C55" s="22">
        <v>30</v>
      </c>
    </row>
    <row r="56" spans="2:3" x14ac:dyDescent="0.3">
      <c r="B56" s="15" t="s">
        <v>329</v>
      </c>
      <c r="C56" s="22">
        <v>31</v>
      </c>
    </row>
    <row r="57" spans="2:3" x14ac:dyDescent="0.3">
      <c r="B57" s="15" t="s">
        <v>330</v>
      </c>
      <c r="C57" s="22">
        <v>30</v>
      </c>
    </row>
    <row r="58" spans="2:3" x14ac:dyDescent="0.3">
      <c r="B58" s="15" t="s">
        <v>331</v>
      </c>
      <c r="C58" s="22">
        <v>31</v>
      </c>
    </row>
    <row r="59" spans="2:3" x14ac:dyDescent="0.3">
      <c r="B59" s="15" t="s">
        <v>332</v>
      </c>
      <c r="C59" s="22">
        <v>31</v>
      </c>
    </row>
    <row r="60" spans="2:3" x14ac:dyDescent="0.3">
      <c r="B60" s="15" t="s">
        <v>333</v>
      </c>
      <c r="C60" s="22">
        <v>30</v>
      </c>
    </row>
    <row r="61" spans="2:3" x14ac:dyDescent="0.3">
      <c r="B61" s="15" t="s">
        <v>334</v>
      </c>
      <c r="C61" s="22">
        <v>31</v>
      </c>
    </row>
    <row r="62" spans="2:3" x14ac:dyDescent="0.3">
      <c r="B62" s="15" t="s">
        <v>335</v>
      </c>
      <c r="C62" s="22">
        <v>30</v>
      </c>
    </row>
    <row r="63" spans="2:3" x14ac:dyDescent="0.3">
      <c r="B63" s="15" t="s">
        <v>336</v>
      </c>
      <c r="C63" s="22">
        <v>16</v>
      </c>
    </row>
    <row r="64" spans="2:3" x14ac:dyDescent="0.3">
      <c r="B64" s="15" t="s">
        <v>320</v>
      </c>
      <c r="C64" s="22">
        <v>295</v>
      </c>
    </row>
    <row r="69" spans="2:7" x14ac:dyDescent="0.3">
      <c r="B69" t="s">
        <v>309</v>
      </c>
    </row>
    <row r="70" spans="2:7" x14ac:dyDescent="0.3">
      <c r="B70" s="13" t="s">
        <v>337</v>
      </c>
      <c r="C70" t="s">
        <v>317</v>
      </c>
    </row>
    <row r="71" spans="2:7" x14ac:dyDescent="0.3">
      <c r="B71" s="15" t="s">
        <v>23</v>
      </c>
      <c r="C71" s="22">
        <v>197</v>
      </c>
    </row>
    <row r="72" spans="2:7" x14ac:dyDescent="0.3">
      <c r="B72" s="15" t="s">
        <v>19</v>
      </c>
      <c r="C72" s="22">
        <v>98</v>
      </c>
      <c r="F72" t="s">
        <v>347</v>
      </c>
      <c r="G72" t="s">
        <v>348</v>
      </c>
    </row>
    <row r="73" spans="2:7" x14ac:dyDescent="0.3">
      <c r="B73" s="15" t="s">
        <v>320</v>
      </c>
      <c r="C73" s="22">
        <v>295</v>
      </c>
      <c r="F73" t="s">
        <v>345</v>
      </c>
      <c r="G73" s="16">
        <f>GETPIVOTDATA("Name",$B$70,"EA Play Season Pass","Yes")/GETPIVOTDATA("Name",$B$70)</f>
        <v>0.33220338983050846</v>
      </c>
    </row>
    <row r="74" spans="2:7" x14ac:dyDescent="0.3">
      <c r="F74" t="s">
        <v>346</v>
      </c>
      <c r="G74" s="16">
        <f>GETPIVOTDATA("Name",$B$76,"Minecraft Season Pass","Yes")/GETPIVOTDATA("Name",$B$76)</f>
        <v>0.65762711864406775</v>
      </c>
    </row>
    <row r="75" spans="2:7" x14ac:dyDescent="0.3">
      <c r="B75" s="15" t="s">
        <v>30</v>
      </c>
    </row>
    <row r="76" spans="2:7" x14ac:dyDescent="0.3">
      <c r="B76" s="13" t="s">
        <v>337</v>
      </c>
      <c r="C76" t="s">
        <v>317</v>
      </c>
    </row>
    <row r="77" spans="2:7" x14ac:dyDescent="0.3">
      <c r="B77" s="15" t="s">
        <v>23</v>
      </c>
      <c r="C77" s="22">
        <v>101</v>
      </c>
    </row>
    <row r="78" spans="2:7" x14ac:dyDescent="0.3">
      <c r="B78" s="15" t="s">
        <v>19</v>
      </c>
      <c r="C78" s="22">
        <v>194</v>
      </c>
    </row>
    <row r="79" spans="2:7" x14ac:dyDescent="0.3">
      <c r="B79" s="15" t="s">
        <v>320</v>
      </c>
      <c r="C79" s="22">
        <v>295</v>
      </c>
    </row>
  </sheetData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B462-82BF-455E-A485-9134B2B9222C}">
  <dimension ref="A1:AB90"/>
  <sheetViews>
    <sheetView showGridLines="0" showRowColHeaders="0" tabSelected="1" zoomScale="80" zoomScaleNormal="80" workbookViewId="0">
      <selection activeCell="E4" sqref="E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41.21875" customWidth="1"/>
    <col min="2" max="2" width="36.5546875" customWidth="1"/>
    <col min="3" max="3" width="29.33203125" customWidth="1"/>
    <col min="4" max="4" width="36.44140625" customWidth="1"/>
    <col min="5" max="5" width="26.6640625" customWidth="1"/>
    <col min="6" max="6" width="35.5546875" customWidth="1"/>
    <col min="10" max="10" width="6.5546875" customWidth="1"/>
  </cols>
  <sheetData>
    <row r="1" spans="1:28" ht="61.2" customHeight="1" x14ac:dyDescent="0.3">
      <c r="A1" s="5"/>
      <c r="B1" s="1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64.2" customHeight="1" x14ac:dyDescent="0.75">
      <c r="A4" s="7"/>
      <c r="B4" s="19">
        <f>C̳álculos!$C$19</f>
        <v>7633</v>
      </c>
      <c r="C4" s="7"/>
      <c r="D4" s="19">
        <f>C̳álculos!$B$19</f>
        <v>25.874576271186442</v>
      </c>
      <c r="E4" s="7"/>
      <c r="F4" s="20">
        <f>C̳álculos!$C$16</f>
        <v>295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3">
      <c r="A41" s="2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</sheetData>
  <sheetProtection algorithmName="SHA-512" hashValue="B84nRfATuU6QyjHC1812TtFf8lZgkg18oXELuj/Lbc+zdLAXU8OMJEEWbBP/LX+WA+69uLmedydmkk741s7nRQ==" saltValue="HDHOev2m3uV8x7kRFGqOTQ==" spinCount="100000" sheet="1" objects="1" scenarios="1" selectLockedCells="1" pivotTables="0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Souza</dc:creator>
  <cp:keywords>Daniele Souza</cp:keywords>
  <cp:lastModifiedBy>Daniele Souza</cp:lastModifiedBy>
  <dcterms:created xsi:type="dcterms:W3CDTF">2024-12-19T13:13:10Z</dcterms:created>
  <dcterms:modified xsi:type="dcterms:W3CDTF">2026-01-17T02:08:19Z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